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l vs. Spring" sheetId="1" r:id="rId4"/>
    <sheet state="visible" name="Spring ENG" sheetId="2" r:id="rId5"/>
    <sheet state="visible" name="Spring SPA" sheetId="3" r:id="rId6"/>
    <sheet state="hidden" name="Fall ENG" sheetId="4" r:id="rId7"/>
    <sheet state="hidden" name="Fall SPA" sheetId="5" r:id="rId8"/>
    <sheet state="hidden" name="Lookup" sheetId="6" r:id="rId9"/>
  </sheets>
  <definedNames/>
  <calcPr/>
  <extLst>
    <ext uri="GoogleSheetsCustomDataVersion2">
      <go:sheetsCustomData xmlns:go="http://customooxmlschemas.google.com/" r:id="rId10" roundtripDataChecksum="Tfh4gI7Qe+EBVT7+gITlBTyXVxrWuPhiYpvx0vGoDi8="/>
    </ext>
  </extLst>
</workbook>
</file>

<file path=xl/sharedStrings.xml><?xml version="1.0" encoding="utf-8"?>
<sst xmlns="http://schemas.openxmlformats.org/spreadsheetml/2006/main" count="1323" uniqueCount="131">
  <si>
    <t>Executive Function - English</t>
  </si>
  <si>
    <t>Executive Function - Spanish</t>
  </si>
  <si>
    <t>Module</t>
  </si>
  <si>
    <t>Label</t>
  </si>
  <si>
    <t>Type</t>
  </si>
  <si>
    <t>Fall HTKS Score</t>
  </si>
  <si>
    <t>Spring HTKS Score</t>
  </si>
  <si>
    <t>ATL5a</t>
  </si>
  <si>
    <t>Control Impulses 1</t>
  </si>
  <si>
    <t>Corr</t>
  </si>
  <si>
    <t>Prob</t>
  </si>
  <si>
    <t>N</t>
  </si>
  <si>
    <t>ATL5b</t>
  </si>
  <si>
    <t>Control Impulses 2</t>
  </si>
  <si>
    <t>ATL8</t>
  </si>
  <si>
    <t>Working Memory 1</t>
  </si>
  <si>
    <t>ATL9</t>
  </si>
  <si>
    <t>Flexible Thinking</t>
  </si>
  <si>
    <t>Language - English</t>
  </si>
  <si>
    <t>Language - Spanish</t>
  </si>
  <si>
    <t>Fall IGDIS: Picture Naming</t>
  </si>
  <si>
    <t>Fall IGDIS: What Doesn't Belong</t>
  </si>
  <si>
    <t>Spring IGDIS: Picture Naming</t>
  </si>
  <si>
    <t>Spring IGDIS: What Doesn't Belong</t>
  </si>
  <si>
    <t>Fall IGDIS: Dibujos</t>
  </si>
  <si>
    <t>Fall IGDIS: Verbos Expresivos</t>
  </si>
  <si>
    <t>Spring IGDIS: Dibujos</t>
  </si>
  <si>
    <t>Spring IGDIS: Verbos Expresivos</t>
  </si>
  <si>
    <t>LAN6</t>
  </si>
  <si>
    <t>Vocabulary</t>
  </si>
  <si>
    <t>LAN7a</t>
  </si>
  <si>
    <t>Word Categories</t>
  </si>
  <si>
    <t>LAN7b</t>
  </si>
  <si>
    <t>Shared Characteristics</t>
  </si>
  <si>
    <t>Literacy - English</t>
  </si>
  <si>
    <t>Fall TOPEL Score</t>
  </si>
  <si>
    <t>Spring TOPEL Score</t>
  </si>
  <si>
    <t>LIT1a</t>
  </si>
  <si>
    <t>Rhyme</t>
  </si>
  <si>
    <t>LIT1b</t>
  </si>
  <si>
    <t>Blending &amp; Adding</t>
  </si>
  <si>
    <t>LIT1c</t>
  </si>
  <si>
    <t>Segmenting</t>
  </si>
  <si>
    <t>LIT1d</t>
  </si>
  <si>
    <t>Decoding &amp; Encoding</t>
  </si>
  <si>
    <t>LIT2</t>
  </si>
  <si>
    <t>Concepts of Print</t>
  </si>
  <si>
    <t>LIT3a</t>
  </si>
  <si>
    <t>Letter Names</t>
  </si>
  <si>
    <t>LIT3bi</t>
  </si>
  <si>
    <t>Consonant Sounds</t>
  </si>
  <si>
    <t>LIT3bii</t>
  </si>
  <si>
    <t>Vowel Sounds</t>
  </si>
  <si>
    <t>LIT4</t>
  </si>
  <si>
    <t>Retell Stories</t>
  </si>
  <si>
    <t>LIT5</t>
  </si>
  <si>
    <t>Answer Questions</t>
  </si>
  <si>
    <t>Math - English</t>
  </si>
  <si>
    <t>Math - Spanish</t>
  </si>
  <si>
    <t>Fall REMA A</t>
  </si>
  <si>
    <t>Fall REMA B</t>
  </si>
  <si>
    <t>Fall REMA Total</t>
  </si>
  <si>
    <t>Spring REMA A</t>
  </si>
  <si>
    <t>Spring REMA B</t>
  </si>
  <si>
    <t>Spring REMA Total</t>
  </si>
  <si>
    <t>MAT2</t>
  </si>
  <si>
    <t>Subitizing</t>
  </si>
  <si>
    <t>MAT3</t>
  </si>
  <si>
    <t>Count 1 by 1</t>
  </si>
  <si>
    <t>MAT4</t>
  </si>
  <si>
    <t>More or Less</t>
  </si>
  <si>
    <t>MAT5</t>
  </si>
  <si>
    <t>Numerals</t>
  </si>
  <si>
    <t>MAT6a</t>
  </si>
  <si>
    <t>Add</t>
  </si>
  <si>
    <t>MAT6b</t>
  </si>
  <si>
    <t>Subtract</t>
  </si>
  <si>
    <t>MAT7</t>
  </si>
  <si>
    <t>Patterns</t>
  </si>
  <si>
    <t>MAT8</t>
  </si>
  <si>
    <t>Measurement</t>
  </si>
  <si>
    <t>MAT9</t>
  </si>
  <si>
    <t>Shapes</t>
  </si>
  <si>
    <t>MAT10</t>
  </si>
  <si>
    <t>Position of Objects</t>
  </si>
  <si>
    <t>Variable</t>
  </si>
  <si>
    <t>htks_score</t>
  </si>
  <si>
    <t>igdis_Picture_Naming_score</t>
  </si>
  <si>
    <t>igdis_Which_One_Doesn't_Belong_score</t>
  </si>
  <si>
    <t>topel_pa_stdscore</t>
  </si>
  <si>
    <t>rema_a_irt</t>
  </si>
  <si>
    <t>rema_b_irt</t>
  </si>
  <si>
    <t>rema_tot_irt</t>
  </si>
  <si>
    <t>Strongest correlation</t>
  </si>
  <si>
    <t>Expected strongest</t>
  </si>
  <si>
    <t>Match?</t>
  </si>
  <si>
    <t>igdis_Dibujos_score</t>
  </si>
  <si>
    <t>igdis_Verbos_Expressivos_score</t>
  </si>
  <si>
    <t>Expected</t>
  </si>
  <si>
    <t>LIT3b</t>
  </si>
  <si>
    <t>Letter Sounds</t>
  </si>
  <si>
    <t>Full Name</t>
  </si>
  <si>
    <t>Domain</t>
  </si>
  <si>
    <t>Label/Lang</t>
  </si>
  <si>
    <t>LIT1a: Rhyme EN</t>
  </si>
  <si>
    <t>LIT1b: Blending &amp; Adding EN</t>
  </si>
  <si>
    <t>LIT1c: Segmenting EN</t>
  </si>
  <si>
    <t>LIT1d: Decoding &amp; Encoding EN</t>
  </si>
  <si>
    <t>LIT2: Concepts of Print EN</t>
  </si>
  <si>
    <t>LIT3a: Letter Names EN</t>
  </si>
  <si>
    <t>LIT3bi: Consonant Sounds EN</t>
  </si>
  <si>
    <t>LIT3bii: Vowel Sounds EN</t>
  </si>
  <si>
    <t>LIT4: Retell Stories EN</t>
  </si>
  <si>
    <t>LIT5: Answer Questions EN</t>
  </si>
  <si>
    <t>MAT2: Subitizing EN</t>
  </si>
  <si>
    <t>MAT3: Count 1 by 1 EN</t>
  </si>
  <si>
    <t>MAT4: More or Less EN</t>
  </si>
  <si>
    <t>MAT5: Numerals EN</t>
  </si>
  <si>
    <t>MAT6a: Add EN</t>
  </si>
  <si>
    <t>MAT6b: Subtract EN</t>
  </si>
  <si>
    <t>MAT7: Patterns EN</t>
  </si>
  <si>
    <t>MAT8: Measurement EN</t>
  </si>
  <si>
    <t>MAT9: Shapes EN</t>
  </si>
  <si>
    <t>MAT10: Position of Objects EN</t>
  </si>
  <si>
    <t>LAN6: Vocabulary EN</t>
  </si>
  <si>
    <t>LAN7a: Word Categories EN</t>
  </si>
  <si>
    <t>LAN7b: Shared Characteristics EN</t>
  </si>
  <si>
    <t>ATL5a: Control Impulses 1 EN</t>
  </si>
  <si>
    <t>ATL5b: Control Impulses 2 EN</t>
  </si>
  <si>
    <t>ATL8: Working Memory 1 EN</t>
  </si>
  <si>
    <t>ATL9: Flexible Thinking 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</si>
</sst>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color theme="1"/>
      <name val="Calibri"/>
      <scheme val="minor"/>
    </font>
    <font>
      <b/>
      <sz val="11.0"/>
      <color rgb="FF000000"/>
      <name val="Aptos Narrow"/>
    </font>
    <font>
      <sz val="11.0"/>
      <color rgb="FF000000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85BE5E"/>
        <bgColor rgb="FF85BE5E"/>
      </patternFill>
    </fill>
    <fill>
      <patternFill patternType="solid">
        <fgColor rgb="FFADADAD"/>
        <bgColor rgb="FFADADAD"/>
      </patternFill>
    </fill>
    <fill>
      <patternFill patternType="solid">
        <fgColor rgb="FF919191"/>
        <bgColor rgb="FF919191"/>
      </patternFill>
    </fill>
    <fill>
      <patternFill patternType="solid">
        <fgColor rgb="FFC8E4B8"/>
        <bgColor rgb="FFC8E4B8"/>
      </patternFill>
    </fill>
    <fill>
      <patternFill patternType="solid">
        <fgColor rgb="FFC4C4C4"/>
        <bgColor rgb="FFC4C4C4"/>
      </patternFill>
    </fill>
    <fill>
      <patternFill patternType="solid">
        <fgColor rgb="FFB4D79D"/>
        <bgColor rgb="FFB4D79D"/>
      </patternFill>
    </fill>
    <fill>
      <patternFill patternType="solid">
        <fgColor rgb="FF6BA743"/>
        <bgColor rgb="FF6BA743"/>
      </patternFill>
    </fill>
    <fill>
      <patternFill patternType="solid">
        <fgColor rgb="FF757575"/>
        <bgColor rgb="FF757575"/>
      </patternFill>
    </fill>
    <fill>
      <patternFill patternType="solid">
        <fgColor rgb="FF595959"/>
        <bgColor rgb="FF595959"/>
      </patternFill>
    </fill>
    <fill>
      <patternFill patternType="solid">
        <fgColor rgb="FF517D33"/>
        <bgColor rgb="FF517D33"/>
      </patternFill>
    </fill>
    <fill>
      <patternFill patternType="solid">
        <fgColor rgb="FF92D050"/>
        <bgColor rgb="FF92D050"/>
      </patternFill>
    </fill>
  </fills>
  <borders count="6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0" fontId="1" numFmtId="0" xfId="0" applyAlignment="1" applyBorder="1" applyFont="1">
      <alignment shrinkToFit="0" wrapText="1"/>
    </xf>
    <xf borderId="0" fillId="0" fontId="3" numFmtId="0" xfId="0" applyAlignment="1" applyFont="1">
      <alignment readingOrder="0" shrinkToFit="0" wrapText="1"/>
    </xf>
    <xf borderId="4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5" fillId="3" fontId="3" numFmtId="0" xfId="0" applyBorder="1" applyFill="1" applyFont="1"/>
    <xf borderId="5" fillId="4" fontId="3" numFmtId="0" xfId="0" applyBorder="1" applyFill="1" applyFont="1"/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5" fillId="8" fontId="3" numFmtId="0" xfId="0" applyBorder="1" applyFill="1" applyFont="1"/>
    <xf borderId="5" fillId="9" fontId="3" numFmtId="0" xfId="0" applyBorder="1" applyFill="1" applyFont="1"/>
    <xf borderId="5" fillId="10" fontId="3" numFmtId="0" xfId="0" applyBorder="1" applyFill="1" applyFont="1"/>
    <xf borderId="5" fillId="11" fontId="3" numFmtId="0" xfId="0" applyBorder="1" applyFill="1" applyFont="1"/>
    <xf borderId="5" fillId="12" fontId="3" numFmtId="0" xfId="0" applyBorder="1" applyFill="1" applyFont="1"/>
    <xf borderId="5" fillId="13" fontId="3" numFmtId="0" xfId="0" applyBorder="1" applyFill="1" applyFont="1"/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3" width="8.71"/>
    <col customWidth="1" min="4" max="9" width="12.86"/>
    <col customWidth="1" min="10" max="10" width="3.86"/>
    <col customWidth="1" min="11" max="11" width="8.71"/>
    <col customWidth="1" min="12" max="12" width="18.57"/>
    <col customWidth="1" min="13" max="13" width="8.71"/>
    <col customWidth="1" min="14" max="19" width="12.86"/>
    <col customWidth="1" min="20" max="26" width="8.71"/>
  </cols>
  <sheetData>
    <row r="1" ht="14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1" t="s">
        <v>1</v>
      </c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4"/>
      <c r="G2" s="4"/>
      <c r="H2" s="4"/>
      <c r="I2" s="4"/>
      <c r="J2" s="4"/>
      <c r="K2" s="5" t="s">
        <v>2</v>
      </c>
      <c r="L2" s="5" t="s">
        <v>3</v>
      </c>
      <c r="M2" s="5" t="s">
        <v>4</v>
      </c>
      <c r="N2" s="5" t="s">
        <v>5</v>
      </c>
      <c r="O2" s="5" t="s">
        <v>6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4" t="s">
        <v>7</v>
      </c>
      <c r="B3" s="6" t="s">
        <v>8</v>
      </c>
      <c r="C3" s="4" t="s">
        <v>9</v>
      </c>
      <c r="D3" s="4">
        <f t="array" ref="D3">XLOOKUP($A3&amp;$C3, 'Fall ENG'!$A:$A&amp;'Fall ENG'!$C:$C, 'Fall ENG'!$D:$D)</f>
        <v>0.4081</v>
      </c>
      <c r="E3" s="4">
        <f t="array" ref="E3">XLOOKUP($A3&amp;$C3, 'Spring ENG'!$A:$A&amp;'Spring ENG'!$C:$C, 'Spring ENG'!$D:$D)</f>
        <v>0.2998</v>
      </c>
      <c r="F3" s="4"/>
      <c r="G3" s="4"/>
      <c r="H3" s="4"/>
      <c r="I3" s="4"/>
      <c r="J3" s="4"/>
      <c r="K3" s="4" t="s">
        <v>7</v>
      </c>
      <c r="L3" s="6" t="s">
        <v>8</v>
      </c>
      <c r="M3" s="4" t="s">
        <v>9</v>
      </c>
      <c r="N3" s="4">
        <f t="array" ref="N3">XLOOKUP($K3&amp;$M3, 'Fall SPA'!$A:$A&amp;'Fall SPA'!$C:$C, 'Fall SPA'!$D:$D)</f>
        <v>0.2287</v>
      </c>
      <c r="O3" s="4">
        <f t="array" ref="O3">XLOOKUP($K3&amp;$M3, 'Spring SPA'!$A:$A&amp;'Spring SPA'!$C:$C, 'Spring SPA'!$D:$D)</f>
        <v>0.4298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7</v>
      </c>
      <c r="B4" s="6" t="s">
        <v>8</v>
      </c>
      <c r="C4" s="4" t="s">
        <v>10</v>
      </c>
      <c r="D4" s="4">
        <f t="array" ref="D4">XLOOKUP($A4&amp;$C4, 'Fall ENG'!$A:$A&amp;'Fall ENG'!$C:$C, 'Fall ENG'!$D:$D)</f>
        <v>0</v>
      </c>
      <c r="E4" s="4">
        <f t="array" ref="E4">XLOOKUP($A4&amp;$C4, 'Spring ENG'!$A:$A&amp;'Spring ENG'!$C:$C, 'Spring ENG'!$D:$D)</f>
        <v>0.0035</v>
      </c>
      <c r="F4" s="4"/>
      <c r="G4" s="4"/>
      <c r="H4" s="4"/>
      <c r="I4" s="4"/>
      <c r="J4" s="4"/>
      <c r="K4" s="4" t="s">
        <v>7</v>
      </c>
      <c r="L4" s="6" t="s">
        <v>8</v>
      </c>
      <c r="M4" s="4" t="s">
        <v>10</v>
      </c>
      <c r="N4" s="4">
        <f t="array" ref="N4">XLOOKUP($K4&amp;$M4, 'Fall SPA'!$A:$A&amp;'Fall SPA'!$C:$C, 'Fall SPA'!$D:$D)</f>
        <v>0.2005</v>
      </c>
      <c r="O4" s="4">
        <f t="array" ref="O4">XLOOKUP($K4&amp;$M4, 'Spring SPA'!$A:$A&amp;'Spring SPA'!$C:$C, 'Spring SPA'!$D:$D)</f>
        <v>0.0966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 t="s">
        <v>7</v>
      </c>
      <c r="B5" s="6" t="s">
        <v>8</v>
      </c>
      <c r="C5" s="4" t="s">
        <v>11</v>
      </c>
      <c r="D5" s="4">
        <f t="array" ref="D5">XLOOKUP($A5&amp;$C5, 'Fall ENG'!$A:$A&amp;'Fall ENG'!$C:$C, 'Fall ENG'!$D:$D)</f>
        <v>126</v>
      </c>
      <c r="E5" s="4">
        <f t="array" ref="E5">XLOOKUP($A5&amp;$C5, 'Spring ENG'!$A:$A&amp;'Spring ENG'!$C:$C, 'Spring ENG'!$D:$D)</f>
        <v>93</v>
      </c>
      <c r="F5" s="4"/>
      <c r="G5" s="4"/>
      <c r="H5" s="4"/>
      <c r="I5" s="4"/>
      <c r="J5" s="4"/>
      <c r="K5" s="4" t="s">
        <v>7</v>
      </c>
      <c r="L5" s="6" t="s">
        <v>8</v>
      </c>
      <c r="M5" s="4" t="s">
        <v>11</v>
      </c>
      <c r="N5" s="4">
        <f t="array" ref="N5">XLOOKUP($K5&amp;$M5, 'Fall SPA'!$A:$A&amp;'Fall SPA'!$C:$C, 'Fall SPA'!$D:$D)</f>
        <v>33</v>
      </c>
      <c r="O5" s="4">
        <f t="array" ref="O5">XLOOKUP($K5&amp;$M5, 'Spring SPA'!$A:$A&amp;'Spring SPA'!$C:$C, 'Spring SPA'!$D:$D)</f>
        <v>16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 t="s">
        <v>12</v>
      </c>
      <c r="B6" s="6" t="s">
        <v>13</v>
      </c>
      <c r="C6" s="4" t="s">
        <v>9</v>
      </c>
      <c r="D6" s="4">
        <f t="array" ref="D6">XLOOKUP($A6&amp;$C6, 'Fall ENG'!$A:$A&amp;'Fall ENG'!$C:$C, 'Fall ENG'!$D:$D)</f>
        <v>0.3248</v>
      </c>
      <c r="E6" s="4">
        <f t="array" ref="E6">XLOOKUP($A6&amp;$C6, 'Spring ENG'!$A:$A&amp;'Spring ENG'!$C:$C, 'Spring ENG'!$D:$D)</f>
        <v>0.1355</v>
      </c>
      <c r="F6" s="4"/>
      <c r="G6" s="4"/>
      <c r="H6" s="4"/>
      <c r="I6" s="4"/>
      <c r="J6" s="4"/>
      <c r="K6" s="4" t="s">
        <v>12</v>
      </c>
      <c r="L6" s="6" t="s">
        <v>13</v>
      </c>
      <c r="M6" s="4" t="s">
        <v>9</v>
      </c>
      <c r="N6" s="4">
        <f t="array" ref="N6">XLOOKUP($K6&amp;$M6, 'Fall SPA'!$A:$A&amp;'Fall SPA'!$C:$C, 'Fall SPA'!$D:$D)</f>
        <v>0.1587</v>
      </c>
      <c r="O6" s="4">
        <f t="array" ref="O6">XLOOKUP($K6&amp;$M6, 'Spring SPA'!$A:$A&amp;'Spring SPA'!$C:$C, 'Spring SPA'!$D:$D)</f>
        <v>0.4145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 t="s">
        <v>12</v>
      </c>
      <c r="B7" s="6" t="s">
        <v>13</v>
      </c>
      <c r="C7" s="4" t="s">
        <v>10</v>
      </c>
      <c r="D7" s="4">
        <f t="array" ref="D7">XLOOKUP($A7&amp;$C7, 'Fall ENG'!$A:$A&amp;'Fall ENG'!$C:$C, 'Fall ENG'!$D:$D)</f>
        <v>0.0016</v>
      </c>
      <c r="E7" s="4">
        <f t="array" ref="E7">XLOOKUP($A7&amp;$C7, 'Spring ENG'!$A:$A&amp;'Spring ENG'!$C:$C, 'Spring ENG'!$D:$D)</f>
        <v>0.132</v>
      </c>
      <c r="F7" s="4"/>
      <c r="G7" s="4"/>
      <c r="H7" s="4"/>
      <c r="I7" s="4"/>
      <c r="J7" s="4"/>
      <c r="K7" s="4" t="s">
        <v>12</v>
      </c>
      <c r="L7" s="6" t="s">
        <v>13</v>
      </c>
      <c r="M7" s="4" t="s">
        <v>10</v>
      </c>
      <c r="N7" s="4">
        <f t="array" ref="N7">XLOOKUP($K7&amp;$M7, 'Fall SPA'!$A:$A&amp;'Fall SPA'!$C:$C, 'Fall SPA'!$D:$D)</f>
        <v>0.4487</v>
      </c>
      <c r="O7" s="4">
        <f t="array" ref="O7">XLOOKUP($K7&amp;$M7, 'Spring SPA'!$A:$A&amp;'Spring SPA'!$C:$C, 'Spring SPA'!$D:$D)</f>
        <v>0.0228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 t="s">
        <v>12</v>
      </c>
      <c r="B8" s="6" t="s">
        <v>13</v>
      </c>
      <c r="C8" s="4" t="s">
        <v>11</v>
      </c>
      <c r="D8" s="4">
        <f t="array" ref="D8">XLOOKUP($A8&amp;$C8, 'Fall ENG'!$A:$A&amp;'Fall ENG'!$C:$C, 'Fall ENG'!$D:$D)</f>
        <v>92</v>
      </c>
      <c r="E8" s="4">
        <f t="array" ref="E8">XLOOKUP($A8&amp;$C8, 'Spring ENG'!$A:$A&amp;'Spring ENG'!$C:$C, 'Spring ENG'!$D:$D)</f>
        <v>125</v>
      </c>
      <c r="F8" s="4"/>
      <c r="G8" s="4"/>
      <c r="H8" s="4"/>
      <c r="I8" s="4"/>
      <c r="J8" s="4"/>
      <c r="K8" s="4" t="s">
        <v>12</v>
      </c>
      <c r="L8" s="6" t="s">
        <v>13</v>
      </c>
      <c r="M8" s="4" t="s">
        <v>11</v>
      </c>
      <c r="N8" s="4">
        <f t="array" ref="N8">XLOOKUP($K8&amp;$M8, 'Fall SPA'!$A:$A&amp;'Fall SPA'!$C:$C, 'Fall SPA'!$D:$D)</f>
        <v>25</v>
      </c>
      <c r="O8" s="4">
        <f t="array" ref="O8">XLOOKUP($K8&amp;$M8, 'Spring SPA'!$A:$A&amp;'Spring SPA'!$C:$C, 'Spring SPA'!$D:$D)</f>
        <v>30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 t="s">
        <v>14</v>
      </c>
      <c r="B9" s="6" t="s">
        <v>15</v>
      </c>
      <c r="C9" s="4" t="s">
        <v>9</v>
      </c>
      <c r="D9" s="4">
        <f t="array" ref="D9">XLOOKUP($A9&amp;$C9, 'Fall ENG'!$A:$A&amp;'Fall ENG'!$C:$C, 'Fall ENG'!$D:$D)</f>
        <v>0.3004</v>
      </c>
      <c r="E9" s="4">
        <f t="array" ref="E9">XLOOKUP($A9&amp;$C9, 'Spring ENG'!$A:$A&amp;'Spring ENG'!$C:$C, 'Spring ENG'!$D:$D)</f>
        <v>0.229</v>
      </c>
      <c r="F9" s="4"/>
      <c r="G9" s="4"/>
      <c r="H9" s="4"/>
      <c r="I9" s="4"/>
      <c r="J9" s="4"/>
      <c r="K9" s="4" t="s">
        <v>14</v>
      </c>
      <c r="L9" s="6" t="s">
        <v>15</v>
      </c>
      <c r="M9" s="4" t="s">
        <v>9</v>
      </c>
      <c r="N9" s="4">
        <f t="array" ref="N9">XLOOKUP($K9&amp;$M9, 'Fall SPA'!$A:$A&amp;'Fall SPA'!$C:$C, 'Fall SPA'!$D:$D)</f>
        <v>0.2025</v>
      </c>
      <c r="O9" s="4">
        <f t="array" ref="O9">XLOOKUP($K9&amp;$M9, 'Spring SPA'!$A:$A&amp;'Spring SPA'!$C:$C, 'Spring SPA'!$D:$D)</f>
        <v>0.4921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 t="s">
        <v>14</v>
      </c>
      <c r="B10" s="6" t="s">
        <v>15</v>
      </c>
      <c r="C10" s="4" t="s">
        <v>10</v>
      </c>
      <c r="D10" s="4">
        <f t="array" ref="D10">XLOOKUP($A10&amp;$C10, 'Fall ENG'!$A:$A&amp;'Fall ENG'!$C:$C, 'Fall ENG'!$D:$D)</f>
        <v>0.0088</v>
      </c>
      <c r="E10" s="4">
        <f t="array" ref="E10">XLOOKUP($A10&amp;$C10, 'Spring ENG'!$A:$A&amp;'Spring ENG'!$C:$C, 'Spring ENG'!$D:$D)</f>
        <v>0.0329</v>
      </c>
      <c r="F10" s="4"/>
      <c r="G10" s="4"/>
      <c r="H10" s="4"/>
      <c r="I10" s="4"/>
      <c r="J10" s="4"/>
      <c r="K10" s="4" t="s">
        <v>14</v>
      </c>
      <c r="L10" s="6" t="s">
        <v>15</v>
      </c>
      <c r="M10" s="4" t="s">
        <v>10</v>
      </c>
      <c r="N10" s="4">
        <f t="array" ref="N10">XLOOKUP($K10&amp;$M10, 'Fall SPA'!$A:$A&amp;'Fall SPA'!$C:$C, 'Fall SPA'!$D:$D)</f>
        <v>0.4058</v>
      </c>
      <c r="O10" s="4">
        <f t="array" ref="O10">XLOOKUP($K10&amp;$M10, 'Spring SPA'!$A:$A&amp;'Spring SPA'!$C:$C, 'Spring SPA'!$D:$D)</f>
        <v>0.0078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 t="s">
        <v>14</v>
      </c>
      <c r="B11" s="6" t="s">
        <v>15</v>
      </c>
      <c r="C11" s="4" t="s">
        <v>11</v>
      </c>
      <c r="D11" s="4">
        <f t="array" ref="D11">XLOOKUP($A11&amp;$C11, 'Fall ENG'!$A:$A&amp;'Fall ENG'!$C:$C, 'Fall ENG'!$D:$D)</f>
        <v>75</v>
      </c>
      <c r="E11" s="4">
        <f t="array" ref="E11">XLOOKUP($A11&amp;$C11, 'Spring ENG'!$A:$A&amp;'Spring ENG'!$C:$C, 'Spring ENG'!$D:$D)</f>
        <v>87</v>
      </c>
      <c r="F11" s="4"/>
      <c r="G11" s="4"/>
      <c r="H11" s="4"/>
      <c r="I11" s="4"/>
      <c r="J11" s="4"/>
      <c r="K11" s="4" t="s">
        <v>14</v>
      </c>
      <c r="L11" s="6" t="s">
        <v>15</v>
      </c>
      <c r="M11" s="4" t="s">
        <v>11</v>
      </c>
      <c r="N11" s="4">
        <f t="array" ref="N11">XLOOKUP($K11&amp;$M11, 'Fall SPA'!$A:$A&amp;'Fall SPA'!$C:$C, 'Fall SPA'!$D:$D)</f>
        <v>19</v>
      </c>
      <c r="O11" s="4">
        <f t="array" ref="O11">XLOOKUP($K11&amp;$M11, 'Spring SPA'!$A:$A&amp;'Spring SPA'!$C:$C, 'Spring SPA'!$D:$D)</f>
        <v>28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 t="s">
        <v>16</v>
      </c>
      <c r="B12" s="6" t="s">
        <v>17</v>
      </c>
      <c r="C12" s="4" t="s">
        <v>9</v>
      </c>
      <c r="D12" s="4">
        <f t="array" ref="D12">XLOOKUP($A12&amp;$C12, 'Fall ENG'!$A:$A&amp;'Fall ENG'!$C:$C, 'Fall ENG'!$D:$D)</f>
        <v>0.1825</v>
      </c>
      <c r="E12" s="4">
        <f t="array" ref="E12">XLOOKUP($A12&amp;$C12, 'Spring ENG'!$A:$A&amp;'Spring ENG'!$C:$C, 'Spring ENG'!$D:$D)</f>
        <v>0.2911</v>
      </c>
      <c r="F12" s="4"/>
      <c r="G12" s="4"/>
      <c r="H12" s="4"/>
      <c r="I12" s="4"/>
      <c r="J12" s="4"/>
      <c r="K12" s="4" t="s">
        <v>16</v>
      </c>
      <c r="L12" s="6" t="s">
        <v>17</v>
      </c>
      <c r="M12" s="4" t="s">
        <v>9</v>
      </c>
      <c r="N12" s="4">
        <f t="array" ref="N12">XLOOKUP($K12&amp;$M12, 'Fall SPA'!$A:$A&amp;'Fall SPA'!$C:$C, 'Fall SPA'!$D:$D)</f>
        <v>0.196</v>
      </c>
      <c r="O12" s="4">
        <f t="array" ref="O12">XLOOKUP($K12&amp;$M12, 'Spring SPA'!$A:$A&amp;'Spring SPA'!$C:$C, 'Spring SPA'!$D:$D)</f>
        <v>0.2771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 t="s">
        <v>16</v>
      </c>
      <c r="B13" s="6" t="s">
        <v>17</v>
      </c>
      <c r="C13" s="4" t="s">
        <v>10</v>
      </c>
      <c r="D13" s="4">
        <f t="array" ref="D13">XLOOKUP($A13&amp;$C13, 'Fall ENG'!$A:$A&amp;'Fall ENG'!$C:$C, 'Fall ENG'!$D:$D)</f>
        <v>0.0499</v>
      </c>
      <c r="E13" s="4">
        <f t="array" ref="E13">XLOOKUP($A13&amp;$C13, 'Spring ENG'!$A:$A&amp;'Spring ENG'!$C:$C, 'Spring ENG'!$D:$D)</f>
        <v>0.0027</v>
      </c>
      <c r="F13" s="4"/>
      <c r="G13" s="4"/>
      <c r="H13" s="4"/>
      <c r="I13" s="4"/>
      <c r="J13" s="4"/>
      <c r="K13" s="4" t="s">
        <v>16</v>
      </c>
      <c r="L13" s="6" t="s">
        <v>17</v>
      </c>
      <c r="M13" s="4" t="s">
        <v>10</v>
      </c>
      <c r="N13" s="4">
        <f t="array" ref="N13">XLOOKUP($K13&amp;$M13, 'Fall SPA'!$A:$A&amp;'Fall SPA'!$C:$C, 'Fall SPA'!$D:$D)</f>
        <v>0.2824</v>
      </c>
      <c r="O13" s="4">
        <f t="array" ref="O13">XLOOKUP($K13&amp;$M13, 'Spring SPA'!$A:$A&amp;'Spring SPA'!$C:$C, 'Spring SPA'!$D:$D)</f>
        <v>0.1457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7" t="s">
        <v>16</v>
      </c>
      <c r="B14" s="8" t="s">
        <v>17</v>
      </c>
      <c r="C14" s="7" t="s">
        <v>11</v>
      </c>
      <c r="D14" s="7">
        <f t="array" ref="D14">XLOOKUP($A14&amp;$C14, 'Fall ENG'!$A:$A&amp;'Fall ENG'!$C:$C, 'Fall ENG'!$D:$D)</f>
        <v>116</v>
      </c>
      <c r="E14" s="7">
        <f t="array" ref="E14">XLOOKUP($A14&amp;$C14, 'Spring ENG'!$A:$A&amp;'Spring ENG'!$C:$C, 'Spring ENG'!$D:$D)</f>
        <v>104</v>
      </c>
      <c r="F14" s="4"/>
      <c r="G14" s="4"/>
      <c r="H14" s="4"/>
      <c r="I14" s="4"/>
      <c r="J14" s="4"/>
      <c r="K14" s="7" t="s">
        <v>16</v>
      </c>
      <c r="L14" s="8" t="s">
        <v>17</v>
      </c>
      <c r="M14" s="7" t="s">
        <v>11</v>
      </c>
      <c r="N14" s="7">
        <f t="array" ref="N14">XLOOKUP($K14&amp;$M14, 'Fall SPA'!$A:$A&amp;'Fall SPA'!$C:$C, 'Fall SPA'!$D:$D)</f>
        <v>32</v>
      </c>
      <c r="O14" s="7">
        <f t="array" ref="O14">XLOOKUP($K14&amp;$M14, 'Spring SPA'!$A:$A&amp;'Spring SPA'!$C:$C, 'Spring SPA'!$D:$D)</f>
        <v>29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" t="s">
        <v>18</v>
      </c>
      <c r="B16" s="2"/>
      <c r="C16" s="2"/>
      <c r="D16" s="2"/>
      <c r="E16" s="2"/>
      <c r="F16" s="2"/>
      <c r="G16" s="3"/>
      <c r="H16" s="4"/>
      <c r="I16" s="4"/>
      <c r="J16" s="4"/>
      <c r="K16" s="1" t="s">
        <v>19</v>
      </c>
      <c r="L16" s="2"/>
      <c r="M16" s="2"/>
      <c r="N16" s="2"/>
      <c r="O16" s="2"/>
      <c r="P16" s="2"/>
      <c r="Q16" s="3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5" t="s">
        <v>2</v>
      </c>
      <c r="B17" s="5" t="s">
        <v>3</v>
      </c>
      <c r="C17" s="5" t="s">
        <v>4</v>
      </c>
      <c r="D17" s="5" t="s">
        <v>20</v>
      </c>
      <c r="E17" s="5" t="s">
        <v>21</v>
      </c>
      <c r="F17" s="5" t="s">
        <v>22</v>
      </c>
      <c r="G17" s="5" t="s">
        <v>23</v>
      </c>
      <c r="H17" s="4"/>
      <c r="I17" s="4"/>
      <c r="J17" s="4"/>
      <c r="K17" s="9" t="s">
        <v>2</v>
      </c>
      <c r="L17" s="9" t="s">
        <v>3</v>
      </c>
      <c r="M17" s="9" t="s">
        <v>4</v>
      </c>
      <c r="N17" s="9" t="s">
        <v>24</v>
      </c>
      <c r="O17" s="9" t="s">
        <v>25</v>
      </c>
      <c r="P17" s="9" t="s">
        <v>26</v>
      </c>
      <c r="Q17" s="9" t="s">
        <v>27</v>
      </c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 t="s">
        <v>28</v>
      </c>
      <c r="B18" s="6" t="s">
        <v>29</v>
      </c>
      <c r="C18" s="4" t="s">
        <v>9</v>
      </c>
      <c r="D18" s="4">
        <f t="array" ref="D18:E18">XLOOKUP($A18&amp;$C18, 'Fall ENG'!$A:$A&amp;'Fall ENG'!$C:$C, 'Fall ENG'!$E:$F)</f>
        <v>0.1097</v>
      </c>
      <c r="E18" s="4">
        <v>0.2083</v>
      </c>
      <c r="F18" s="4">
        <f t="array" ref="F18:G18">XLOOKUP($A18&amp;$C18, 'Spring ENG'!$A:$A&amp;'Spring ENG'!$C:$C, 'Spring ENG'!$E:$F)</f>
        <v>0.2743</v>
      </c>
      <c r="G18" s="4">
        <v>0.1949</v>
      </c>
      <c r="H18" s="4"/>
      <c r="I18" s="4"/>
      <c r="J18" s="4"/>
      <c r="K18" s="4" t="s">
        <v>28</v>
      </c>
      <c r="L18" s="6" t="s">
        <v>29</v>
      </c>
      <c r="M18" s="4" t="s">
        <v>9</v>
      </c>
      <c r="N18" s="4">
        <f t="array" ref="N18:O18">XLOOKUP($A18&amp;$C18, 'Fall SPA'!$A:$A&amp;'Fall SPA'!$C:$C, 'Fall SPA'!$E:$F)</f>
        <v>-0.0631</v>
      </c>
      <c r="O18" s="4">
        <v>0.3415</v>
      </c>
      <c r="P18" s="4">
        <f t="array" ref="P18:Q18">XLOOKUP($A18&amp;$C18, 'Spring SPA'!$A:$A&amp;'Spring SPA'!$C:$C, 'Spring SPA'!$E:$F)</f>
        <v>0.4056</v>
      </c>
      <c r="Q18" s="4">
        <v>0.1824</v>
      </c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 t="s">
        <v>28</v>
      </c>
      <c r="B19" s="6" t="s">
        <v>29</v>
      </c>
      <c r="C19" s="4" t="s">
        <v>10</v>
      </c>
      <c r="D19" s="4">
        <f t="array" ref="D19:E19">XLOOKUP($A19&amp;$C19, 'Fall ENG'!$A:$A&amp;'Fall ENG'!$C:$C, 'Fall ENG'!$E:$F)</f>
        <v>0.2951</v>
      </c>
      <c r="E19" s="4">
        <v>0.0709</v>
      </c>
      <c r="F19" s="4">
        <f t="array" ref="F19:G19">XLOOKUP($A19&amp;$C19, 'Spring ENG'!$A:$A&amp;'Spring ENG'!$C:$C, 'Spring ENG'!$E:$F)</f>
        <v>0.0093</v>
      </c>
      <c r="G19" s="4">
        <v>0.0656</v>
      </c>
      <c r="H19" s="4"/>
      <c r="I19" s="4"/>
      <c r="J19" s="4"/>
      <c r="K19" s="4" t="s">
        <v>28</v>
      </c>
      <c r="L19" s="6" t="s">
        <v>29</v>
      </c>
      <c r="M19" s="4" t="s">
        <v>10</v>
      </c>
      <c r="N19" s="4">
        <f t="array" ref="N19:O19">XLOOKUP($A19&amp;$C19, 'Fall SPA'!$A:$A&amp;'Fall SPA'!$C:$C, 'Fall SPA'!$E:$F)</f>
        <v>0.7857</v>
      </c>
      <c r="O19" s="4">
        <v>0.1524</v>
      </c>
      <c r="P19" s="4">
        <f t="array" ref="P19:Q19">XLOOKUP($A19&amp;$C19, 'Spring SPA'!$A:$A&amp;'Spring SPA'!$C:$C, 'Spring SPA'!$E:$F)</f>
        <v>0.0291</v>
      </c>
      <c r="Q19" s="4">
        <v>0.3625</v>
      </c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 t="s">
        <v>28</v>
      </c>
      <c r="B20" s="6" t="s">
        <v>29</v>
      </c>
      <c r="C20" s="4" t="s">
        <v>11</v>
      </c>
      <c r="D20" s="4">
        <f t="array" ref="D20:E20">XLOOKUP($A20&amp;$C20, 'Fall ENG'!$A:$A&amp;'Fall ENG'!$C:$C, 'Fall ENG'!$E:$F)</f>
        <v>93</v>
      </c>
      <c r="E20" s="4">
        <v>76.0</v>
      </c>
      <c r="F20" s="4">
        <f t="array" ref="F20:G20">XLOOKUP($A20&amp;$C20, 'Spring ENG'!$A:$A&amp;'Spring ENG'!$C:$C, 'Spring ENG'!$E:$F)</f>
        <v>89</v>
      </c>
      <c r="G20" s="4">
        <v>90.0</v>
      </c>
      <c r="H20" s="4"/>
      <c r="I20" s="4"/>
      <c r="J20" s="4"/>
      <c r="K20" s="4" t="s">
        <v>28</v>
      </c>
      <c r="L20" s="6" t="s">
        <v>29</v>
      </c>
      <c r="M20" s="4" t="s">
        <v>11</v>
      </c>
      <c r="N20" s="4">
        <f t="array" ref="N20:O20">XLOOKUP($A20&amp;$C20, 'Fall SPA'!$A:$A&amp;'Fall SPA'!$C:$C, 'Fall SPA'!$E:$F)</f>
        <v>21</v>
      </c>
      <c r="O20" s="4">
        <v>19.0</v>
      </c>
      <c r="P20" s="4">
        <f t="array" ref="P20:Q20">XLOOKUP($A20&amp;$C20, 'Spring SPA'!$A:$A&amp;'Spring SPA'!$C:$C, 'Spring SPA'!$E:$F)</f>
        <v>29</v>
      </c>
      <c r="Q20" s="4">
        <v>27.0</v>
      </c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 t="s">
        <v>30</v>
      </c>
      <c r="B21" s="6" t="s">
        <v>31</v>
      </c>
      <c r="C21" s="4" t="s">
        <v>9</v>
      </c>
      <c r="D21" s="4">
        <f t="array" ref="D21:E21">XLOOKUP($A21&amp;$C21, 'Fall ENG'!$A:$A&amp;'Fall ENG'!$C:$C, 'Fall ENG'!$E:$F)</f>
        <v>0.2754</v>
      </c>
      <c r="E21" s="4">
        <v>0.4871</v>
      </c>
      <c r="F21" s="4">
        <f t="array" ref="F21:G21">XLOOKUP($A21&amp;$C21, 'Spring ENG'!$A:$A&amp;'Spring ENG'!$C:$C, 'Spring ENG'!$E:$F)</f>
        <v>0.4512</v>
      </c>
      <c r="G21" s="4">
        <v>0.552</v>
      </c>
      <c r="H21" s="4"/>
      <c r="I21" s="4"/>
      <c r="J21" s="4"/>
      <c r="K21" s="4" t="s">
        <v>30</v>
      </c>
      <c r="L21" s="6" t="s">
        <v>31</v>
      </c>
      <c r="M21" s="4" t="s">
        <v>9</v>
      </c>
      <c r="N21" s="4">
        <f t="array" ref="N21:O21">XLOOKUP($A21&amp;$C21, 'Fall SPA'!$A:$A&amp;'Fall SPA'!$C:$C, 'Fall SPA'!$E:$F)</f>
        <v>0.3551</v>
      </c>
      <c r="O21" s="4">
        <v>0.286</v>
      </c>
      <c r="P21" s="4">
        <f t="array" ref="P21:Q21">XLOOKUP($A21&amp;$C21, 'Spring SPA'!$A:$A&amp;'Spring SPA'!$C:$C, 'Spring SPA'!$E:$F)</f>
        <v>0.4845</v>
      </c>
      <c r="Q21" s="4">
        <v>0.3253</v>
      </c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 t="s">
        <v>30</v>
      </c>
      <c r="B22" s="6" t="s">
        <v>31</v>
      </c>
      <c r="C22" s="4" t="s">
        <v>10</v>
      </c>
      <c r="D22" s="4">
        <f t="array" ref="D22:E22">XLOOKUP($A22&amp;$C22, 'Fall ENG'!$A:$A&amp;'Fall ENG'!$C:$C, 'Fall ENG'!$E:$F)</f>
        <v>0.0034</v>
      </c>
      <c r="E22" s="4">
        <v>0.0</v>
      </c>
      <c r="F22" s="4">
        <f t="array" ref="F22:G22">XLOOKUP($A22&amp;$C22, 'Spring ENG'!$A:$A&amp;'Spring ENG'!$C:$C, 'Spring ENG'!$E:$F)</f>
        <v>0</v>
      </c>
      <c r="G22" s="4">
        <v>0.0</v>
      </c>
      <c r="H22" s="4"/>
      <c r="I22" s="4"/>
      <c r="J22" s="4"/>
      <c r="K22" s="4" t="s">
        <v>30</v>
      </c>
      <c r="L22" s="6" t="s">
        <v>31</v>
      </c>
      <c r="M22" s="4" t="s">
        <v>10</v>
      </c>
      <c r="N22" s="4">
        <f t="array" ref="N22:O22">XLOOKUP($A22&amp;$C22, 'Fall SPA'!$A:$A&amp;'Fall SPA'!$C:$C, 'Fall SPA'!$E:$F)</f>
        <v>0.0426</v>
      </c>
      <c r="O22" s="4">
        <v>0.1188</v>
      </c>
      <c r="P22" s="4">
        <f t="array" ref="P22:Q22">XLOOKUP($A22&amp;$C22, 'Spring SPA'!$A:$A&amp;'Spring SPA'!$C:$C, 'Spring SPA'!$E:$F)</f>
        <v>0.0067</v>
      </c>
      <c r="Q22" s="4">
        <v>0.0912</v>
      </c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 t="s">
        <v>30</v>
      </c>
      <c r="B23" s="6" t="s">
        <v>31</v>
      </c>
      <c r="C23" s="4" t="s">
        <v>11</v>
      </c>
      <c r="D23" s="4">
        <f t="array" ref="D23:E23">XLOOKUP($A23&amp;$C23, 'Fall ENG'!$A:$A&amp;'Fall ENG'!$C:$C, 'Fall ENG'!$E:$F)</f>
        <v>111</v>
      </c>
      <c r="E23" s="4">
        <v>95.0</v>
      </c>
      <c r="F23" s="4">
        <f t="array" ref="F23:G23">XLOOKUP($A23&amp;$C23, 'Spring ENG'!$A:$A&amp;'Spring ENG'!$C:$C, 'Spring ENG'!$E:$F)</f>
        <v>102</v>
      </c>
      <c r="G23" s="4">
        <v>102.0</v>
      </c>
      <c r="H23" s="4"/>
      <c r="I23" s="4"/>
      <c r="J23" s="4"/>
      <c r="K23" s="4" t="s">
        <v>30</v>
      </c>
      <c r="L23" s="6" t="s">
        <v>31</v>
      </c>
      <c r="M23" s="4" t="s">
        <v>11</v>
      </c>
      <c r="N23" s="4">
        <f t="array" ref="N23:O23">XLOOKUP($A23&amp;$C23, 'Fall SPA'!$A:$A&amp;'Fall SPA'!$C:$C, 'Fall SPA'!$E:$F)</f>
        <v>33</v>
      </c>
      <c r="O23" s="4">
        <v>31.0</v>
      </c>
      <c r="P23" s="4">
        <f t="array" ref="P23:Q23">XLOOKUP($A23&amp;$C23, 'Spring SPA'!$A:$A&amp;'Spring SPA'!$C:$C, 'Spring SPA'!$E:$F)</f>
        <v>30</v>
      </c>
      <c r="Q23" s="4">
        <v>28.0</v>
      </c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 t="s">
        <v>32</v>
      </c>
      <c r="B24" s="6" t="s">
        <v>33</v>
      </c>
      <c r="C24" s="4" t="s">
        <v>9</v>
      </c>
      <c r="D24" s="4">
        <f t="array" ref="D24:E24">XLOOKUP($A24&amp;$C24, 'Fall ENG'!$A:$A&amp;'Fall ENG'!$C:$C, 'Fall ENG'!$E:$F)</f>
        <v>0.3467</v>
      </c>
      <c r="E24" s="4">
        <v>0.3026</v>
      </c>
      <c r="F24" s="4">
        <f t="array" ref="F24:G24">XLOOKUP($A24&amp;$C24, 'Spring ENG'!$A:$A&amp;'Spring ENG'!$C:$C, 'Spring ENG'!$E:$F)</f>
        <v>0.1467</v>
      </c>
      <c r="G24" s="4">
        <v>0.2283</v>
      </c>
      <c r="H24" s="4"/>
      <c r="I24" s="4"/>
      <c r="J24" s="4"/>
      <c r="K24" s="4" t="s">
        <v>32</v>
      </c>
      <c r="L24" s="6" t="s">
        <v>33</v>
      </c>
      <c r="M24" s="4" t="s">
        <v>9</v>
      </c>
      <c r="N24" s="4">
        <f t="array" ref="N24:O24">XLOOKUP($A24&amp;$C24, 'Fall SPA'!$A:$A&amp;'Fall SPA'!$C:$C, 'Fall SPA'!$E:$F)</f>
        <v>0.3792</v>
      </c>
      <c r="O24" s="4">
        <v>0.236</v>
      </c>
      <c r="P24" s="4">
        <f t="array" ref="P24:Q24">XLOOKUP($A24&amp;$C24, 'Spring SPA'!$A:$A&amp;'Spring SPA'!$C:$C, 'Spring SPA'!$E:$F)</f>
        <v>0.3356</v>
      </c>
      <c r="Q24" s="4">
        <v>0.2801</v>
      </c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 t="s">
        <v>32</v>
      </c>
      <c r="B25" s="6" t="s">
        <v>33</v>
      </c>
      <c r="C25" s="4" t="s">
        <v>10</v>
      </c>
      <c r="D25" s="4">
        <f t="array" ref="D25:E25">XLOOKUP($A25&amp;$C25, 'Fall ENG'!$A:$A&amp;'Fall ENG'!$C:$C, 'Fall ENG'!$E:$F)</f>
        <v>0.0001</v>
      </c>
      <c r="E25" s="4">
        <v>0.002</v>
      </c>
      <c r="F25" s="4">
        <f t="array" ref="F25:G25">XLOOKUP($A25&amp;$C25, 'Spring ENG'!$A:$A&amp;'Spring ENG'!$C:$C, 'Spring ENG'!$E:$F)</f>
        <v>0.1297</v>
      </c>
      <c r="G25" s="4">
        <v>0.0175</v>
      </c>
      <c r="H25" s="4"/>
      <c r="I25" s="4"/>
      <c r="J25" s="4"/>
      <c r="K25" s="4" t="s">
        <v>32</v>
      </c>
      <c r="L25" s="6" t="s">
        <v>33</v>
      </c>
      <c r="M25" s="4" t="s">
        <v>10</v>
      </c>
      <c r="N25" s="4">
        <f t="array" ref="N25:O25">XLOOKUP($A25&amp;$C25, 'Fall SPA'!$A:$A&amp;'Fall SPA'!$C:$C, 'Fall SPA'!$E:$F)</f>
        <v>0.0354</v>
      </c>
      <c r="O25" s="4">
        <v>0.2178</v>
      </c>
      <c r="P25" s="4">
        <f t="array" ref="P25:Q25">XLOOKUP($A25&amp;$C25, 'Spring SPA'!$A:$A&amp;'Spring SPA'!$C:$C, 'Spring SPA'!$E:$F)</f>
        <v>0.0698</v>
      </c>
      <c r="Q25" s="4">
        <v>0.1488</v>
      </c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7" t="s">
        <v>32</v>
      </c>
      <c r="B26" s="8" t="s">
        <v>33</v>
      </c>
      <c r="C26" s="7" t="s">
        <v>11</v>
      </c>
      <c r="D26" s="7">
        <f t="array" ref="D26:E26">XLOOKUP($A26&amp;$C26, 'Fall ENG'!$A:$A&amp;'Fall ENG'!$C:$C, 'Fall ENG'!$E:$F)</f>
        <v>116</v>
      </c>
      <c r="E26" s="7">
        <v>102.0</v>
      </c>
      <c r="F26" s="7">
        <f t="array" ref="F26:G26">XLOOKUP($A26&amp;$C26, 'Spring ENG'!$A:$A&amp;'Spring ENG'!$C:$C, 'Spring ENG'!$E:$F)</f>
        <v>108</v>
      </c>
      <c r="G26" s="7">
        <v>108.0</v>
      </c>
      <c r="H26" s="4"/>
      <c r="I26" s="4"/>
      <c r="J26" s="4"/>
      <c r="K26" s="7" t="s">
        <v>32</v>
      </c>
      <c r="L26" s="8" t="s">
        <v>33</v>
      </c>
      <c r="M26" s="7" t="s">
        <v>11</v>
      </c>
      <c r="N26" s="7">
        <f t="array" ref="N26:O26">XLOOKUP($A26&amp;$C26, 'Fall SPA'!$A:$A&amp;'Fall SPA'!$C:$C, 'Fall SPA'!$E:$F)</f>
        <v>31</v>
      </c>
      <c r="O26" s="7">
        <v>29.0</v>
      </c>
      <c r="P26" s="7">
        <f t="array" ref="P26:Q26">XLOOKUP($A26&amp;$C26, 'Spring SPA'!$A:$A&amp;'Spring SPA'!$C:$C, 'Spring SPA'!$E:$F)</f>
        <v>30</v>
      </c>
      <c r="Q26" s="7">
        <v>28.0</v>
      </c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1" t="s">
        <v>34</v>
      </c>
      <c r="B28" s="2"/>
      <c r="C28" s="2"/>
      <c r="D28" s="2"/>
      <c r="E28" s="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5" t="s">
        <v>2</v>
      </c>
      <c r="B29" s="5" t="s">
        <v>3</v>
      </c>
      <c r="C29" s="5" t="s">
        <v>4</v>
      </c>
      <c r="D29" s="5" t="s">
        <v>35</v>
      </c>
      <c r="E29" s="5" t="s">
        <v>36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4" t="s">
        <v>37</v>
      </c>
      <c r="B30" s="6" t="s">
        <v>38</v>
      </c>
      <c r="C30" s="4" t="s">
        <v>9</v>
      </c>
      <c r="D30" s="4">
        <f t="array" ref="D30">XLOOKUP($A30&amp;$C30, 'Fall ENG'!$A:$A&amp;'Fall ENG'!$C:$C, 'Fall ENG'!$G:$G)</f>
        <v>0.0577</v>
      </c>
      <c r="E30" s="4">
        <f t="array" ref="E30">XLOOKUP($A30&amp;$C30, 'Spring ENG'!$A:$A&amp;'Spring ENG'!$C:$C, 'Spring ENG'!$G:$G)</f>
        <v>0.4687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 t="s">
        <v>37</v>
      </c>
      <c r="B31" s="6" t="s">
        <v>38</v>
      </c>
      <c r="C31" s="4" t="s">
        <v>10</v>
      </c>
      <c r="D31" s="4">
        <f t="array" ref="D31">XLOOKUP($A31&amp;$C31, 'Fall ENG'!$A:$A&amp;'Fall ENG'!$C:$C, 'Fall ENG'!$G:$G)</f>
        <v>0.5193</v>
      </c>
      <c r="E31" s="4">
        <f t="array" ref="E31">XLOOKUP($A31&amp;$C31, 'Spring ENG'!$A:$A&amp;'Spring ENG'!$C:$C, 'Spring ENG'!$G:$G)</f>
        <v>0.0009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 t="s">
        <v>37</v>
      </c>
      <c r="B32" s="6" t="s">
        <v>38</v>
      </c>
      <c r="C32" s="4" t="s">
        <v>11</v>
      </c>
      <c r="D32" s="4">
        <f t="array" ref="D32">XLOOKUP($A32&amp;$C32, 'Fall ENG'!$A:$A&amp;'Fall ENG'!$C:$C, 'Fall ENG'!$G:$G)</f>
        <v>127</v>
      </c>
      <c r="E32" s="4">
        <f t="array" ref="E32">XLOOKUP($A32&amp;$C32, 'Spring ENG'!$A:$A&amp;'Spring ENG'!$C:$C, 'Spring ENG'!$G:$G)</f>
        <v>47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 t="s">
        <v>39</v>
      </c>
      <c r="B33" s="6" t="s">
        <v>40</v>
      </c>
      <c r="C33" s="4" t="s">
        <v>9</v>
      </c>
      <c r="D33" s="4">
        <f t="array" ref="D33">XLOOKUP($A33&amp;$C33, 'Fall ENG'!$A:$A&amp;'Fall ENG'!$C:$C, 'Fall ENG'!$G:$G)</f>
        <v>0.1873</v>
      </c>
      <c r="E33" s="4">
        <f t="array" ref="E33">XLOOKUP($A33&amp;$C33, 'Spring ENG'!$A:$A&amp;'Spring ENG'!$C:$C, 'Spring ENG'!$G:$G)</f>
        <v>0.4019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 t="s">
        <v>39</v>
      </c>
      <c r="B34" s="6" t="s">
        <v>40</v>
      </c>
      <c r="C34" s="4" t="s">
        <v>10</v>
      </c>
      <c r="D34" s="4">
        <f t="array" ref="D34">XLOOKUP($A34&amp;$C34, 'Fall ENG'!$A:$A&amp;'Fall ENG'!$C:$C, 'Fall ENG'!$G:$G)</f>
        <v>0.0365</v>
      </c>
      <c r="E34" s="4">
        <f t="array" ref="E34">XLOOKUP($A34&amp;$C34, 'Spring ENG'!$A:$A&amp;'Spring ENG'!$C:$C, 'Spring ENG'!$G:$G)</f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 t="s">
        <v>39</v>
      </c>
      <c r="B35" s="6" t="s">
        <v>40</v>
      </c>
      <c r="C35" s="4" t="s">
        <v>11</v>
      </c>
      <c r="D35" s="4">
        <f t="array" ref="D35">XLOOKUP($A35&amp;$C35, 'Fall ENG'!$A:$A&amp;'Fall ENG'!$C:$C, 'Fall ENG'!$G:$G)</f>
        <v>125</v>
      </c>
      <c r="E35" s="4">
        <f t="array" ref="E35">XLOOKUP($A35&amp;$C35, 'Spring ENG'!$A:$A&amp;'Spring ENG'!$C:$C, 'Spring ENG'!$G:$G)</f>
        <v>123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 t="s">
        <v>41</v>
      </c>
      <c r="B36" s="6" t="s">
        <v>42</v>
      </c>
      <c r="C36" s="4" t="s">
        <v>9</v>
      </c>
      <c r="D36" s="4">
        <f t="array" ref="D36">XLOOKUP($A36&amp;$C36, 'Fall ENG'!$A:$A&amp;'Fall ENG'!$C:$C, 'Fall ENG'!$G:$G)</f>
        <v>0.3209</v>
      </c>
      <c r="E36" s="4">
        <f t="array" ref="E36">XLOOKUP($A36&amp;$C36, 'Spring ENG'!$A:$A&amp;'Spring ENG'!$C:$C, 'Spring ENG'!$G:$G)</f>
        <v>0.3551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 t="s">
        <v>41</v>
      </c>
      <c r="B37" s="6" t="s">
        <v>42</v>
      </c>
      <c r="C37" s="4" t="s">
        <v>10</v>
      </c>
      <c r="D37" s="4">
        <f t="array" ref="D37">XLOOKUP($A37&amp;$C37, 'Fall ENG'!$A:$A&amp;'Fall ENG'!$C:$C, 'Fall ENG'!$G:$G)</f>
        <v>0.0004</v>
      </c>
      <c r="E37" s="4">
        <f t="array" ref="E37">XLOOKUP($A37&amp;$C37, 'Spring ENG'!$A:$A&amp;'Spring ENG'!$C:$C, 'Spring ENG'!$G:$G)</f>
        <v>0.0691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 t="s">
        <v>41</v>
      </c>
      <c r="B38" s="6" t="s">
        <v>42</v>
      </c>
      <c r="C38" s="4" t="s">
        <v>11</v>
      </c>
      <c r="D38" s="4">
        <f t="array" ref="D38">XLOOKUP($A38&amp;$C38, 'Fall ENG'!$A:$A&amp;'Fall ENG'!$C:$C, 'Fall ENG'!$G:$G)</f>
        <v>119</v>
      </c>
      <c r="E38" s="4">
        <f t="array" ref="E38">XLOOKUP($A38&amp;$C38, 'Spring ENG'!$A:$A&amp;'Spring ENG'!$C:$C, 'Spring ENG'!$G:$G)</f>
        <v>27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 t="s">
        <v>43</v>
      </c>
      <c r="B39" s="6" t="s">
        <v>44</v>
      </c>
      <c r="C39" s="4" t="s">
        <v>9</v>
      </c>
      <c r="D39" s="4">
        <f t="array" ref="D39">XLOOKUP($A39&amp;$C39, 'Fall ENG'!$A:$A&amp;'Fall ENG'!$C:$C, 'Fall ENG'!$G:$G)</f>
        <v>0.041</v>
      </c>
      <c r="E39" s="4">
        <f t="array" ref="E39">XLOOKUP($A39&amp;$C39, 'Spring ENG'!$A:$A&amp;'Spring ENG'!$C:$C, 'Spring ENG'!$G:$G)</f>
        <v>0.4116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 t="s">
        <v>43</v>
      </c>
      <c r="B40" s="6" t="s">
        <v>44</v>
      </c>
      <c r="C40" s="4" t="s">
        <v>10</v>
      </c>
      <c r="D40" s="4">
        <f t="array" ref="D40">XLOOKUP($A40&amp;$C40, 'Fall ENG'!$A:$A&amp;'Fall ENG'!$C:$C, 'Fall ENG'!$G:$G)</f>
        <v>0.7797</v>
      </c>
      <c r="E40" s="4">
        <f t="array" ref="E40">XLOOKUP($A40&amp;$C40, 'Spring ENG'!$A:$A&amp;'Spring ENG'!$C:$C, 'Spring ENG'!$G:$G)</f>
        <v>0.0015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 t="s">
        <v>43</v>
      </c>
      <c r="B41" s="6" t="s">
        <v>44</v>
      </c>
      <c r="C41" s="4" t="s">
        <v>11</v>
      </c>
      <c r="D41" s="4">
        <f t="array" ref="D41">XLOOKUP($A41&amp;$C41, 'Fall ENG'!$A:$A&amp;'Fall ENG'!$C:$C, 'Fall ENG'!$G:$G)</f>
        <v>49</v>
      </c>
      <c r="E41" s="4">
        <f t="array" ref="E41">XLOOKUP($A41&amp;$C41, 'Spring ENG'!$A:$A&amp;'Spring ENG'!$C:$C, 'Spring ENG'!$G:$G)</f>
        <v>57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 t="s">
        <v>45</v>
      </c>
      <c r="B42" s="6" t="s">
        <v>46</v>
      </c>
      <c r="C42" s="4" t="s">
        <v>9</v>
      </c>
      <c r="D42" s="4">
        <f t="array" ref="D42">XLOOKUP($A42&amp;$C42, 'Fall ENG'!$A:$A&amp;'Fall ENG'!$C:$C, 'Fall ENG'!$G:$G)</f>
        <v>0.1337</v>
      </c>
      <c r="E42" s="4">
        <f t="array" ref="E42">XLOOKUP($A42&amp;$C42, 'Spring ENG'!$A:$A&amp;'Spring ENG'!$C:$C, 'Spring ENG'!$G:$G)</f>
        <v>0.5418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 t="s">
        <v>45</v>
      </c>
      <c r="B43" s="6" t="s">
        <v>46</v>
      </c>
      <c r="C43" s="4" t="s">
        <v>10</v>
      </c>
      <c r="D43" s="4">
        <f t="array" ref="D43">XLOOKUP($A43&amp;$C43, 'Fall ENG'!$A:$A&amp;'Fall ENG'!$C:$C, 'Fall ENG'!$G:$G)</f>
        <v>0.4658</v>
      </c>
      <c r="E43" s="4">
        <f t="array" ref="E43">XLOOKUP($A43&amp;$C43, 'Spring ENG'!$A:$A&amp;'Spring ENG'!$C:$C, 'Spring ENG'!$G:$G)</f>
        <v>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 t="s">
        <v>45</v>
      </c>
      <c r="B44" s="6" t="s">
        <v>46</v>
      </c>
      <c r="C44" s="4" t="s">
        <v>11</v>
      </c>
      <c r="D44" s="4">
        <f t="array" ref="D44">XLOOKUP($A44&amp;$C44, 'Fall ENG'!$A:$A&amp;'Fall ENG'!$C:$C, 'Fall ENG'!$G:$G)</f>
        <v>32</v>
      </c>
      <c r="E44" s="4">
        <f t="array" ref="E44">XLOOKUP($A44&amp;$C44, 'Spring ENG'!$A:$A&amp;'Spring ENG'!$C:$C, 'Spring ENG'!$G:$G)</f>
        <v>114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 t="s">
        <v>47</v>
      </c>
      <c r="B45" s="6" t="s">
        <v>48</v>
      </c>
      <c r="C45" s="4" t="s">
        <v>9</v>
      </c>
      <c r="D45" s="4">
        <f t="array" ref="D45">XLOOKUP($A45&amp;$C45, 'Fall ENG'!$A:$A&amp;'Fall ENG'!$C:$C, 'Fall ENG'!$G:$G)</f>
        <v>0.17</v>
      </c>
      <c r="E45" s="4">
        <f t="array" ref="E45">XLOOKUP($A45&amp;$C45, 'Spring ENG'!$A:$A&amp;'Spring ENG'!$C:$C, 'Spring ENG'!$G:$G)</f>
        <v>0.3153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 t="s">
        <v>47</v>
      </c>
      <c r="B46" s="6" t="s">
        <v>48</v>
      </c>
      <c r="C46" s="4" t="s">
        <v>10</v>
      </c>
      <c r="D46" s="4">
        <f t="array" ref="D46">XLOOKUP($A46&amp;$C46, 'Fall ENG'!$A:$A&amp;'Fall ENG'!$C:$C, 'Fall ENG'!$G:$G)</f>
        <v>0.3215</v>
      </c>
      <c r="E46" s="4">
        <f t="array" ref="E46">XLOOKUP($A46&amp;$C46, 'Spring ENG'!$A:$A&amp;'Spring ENG'!$C:$C, 'Spring ENG'!$G:$G)</f>
        <v>0.0003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 t="s">
        <v>47</v>
      </c>
      <c r="B47" s="6" t="s">
        <v>48</v>
      </c>
      <c r="C47" s="4" t="s">
        <v>11</v>
      </c>
      <c r="D47" s="4">
        <f t="array" ref="D47">XLOOKUP($A47&amp;$C47, 'Fall ENG'!$A:$A&amp;'Fall ENG'!$C:$C, 'Fall ENG'!$G:$G)</f>
        <v>36</v>
      </c>
      <c r="E47" s="4">
        <f t="array" ref="E47">XLOOKUP($A47&amp;$C47, 'Spring ENG'!$A:$A&amp;'Spring ENG'!$C:$C, 'Spring ENG'!$G:$G)</f>
        <v>125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 t="s">
        <v>49</v>
      </c>
      <c r="B48" s="6" t="s">
        <v>50</v>
      </c>
      <c r="C48" s="4" t="s">
        <v>9</v>
      </c>
      <c r="D48" s="4">
        <f t="array" ref="D48">XLOOKUP($A48&amp;$C48, 'Fall ENG'!$A:$A&amp;'Fall ENG'!$C:$C, 'Fall ENG'!$G:$G)</f>
        <v>0.3295</v>
      </c>
      <c r="E48" s="4">
        <f t="array" ref="E48">XLOOKUP($A48&amp;$C48, 'Spring ENG'!$A:$A&amp;'Spring ENG'!$C:$C, 'Spring ENG'!$G:$G)</f>
        <v>0.4279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 t="s">
        <v>49</v>
      </c>
      <c r="B49" s="6" t="s">
        <v>50</v>
      </c>
      <c r="C49" s="4" t="s">
        <v>10</v>
      </c>
      <c r="D49" s="4">
        <f t="array" ref="D49">XLOOKUP($A49&amp;$C49, 'Fall ENG'!$A:$A&amp;'Fall ENG'!$C:$C, 'Fall ENG'!$G:$G)</f>
        <v>0.0001</v>
      </c>
      <c r="E49" s="4">
        <f t="array" ref="E49">XLOOKUP($A49&amp;$C49, 'Spring ENG'!$A:$A&amp;'Spring ENG'!$C:$C, 'Spring ENG'!$G:$G)</f>
        <v>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 t="s">
        <v>49</v>
      </c>
      <c r="B50" s="6" t="s">
        <v>50</v>
      </c>
      <c r="C50" s="4" t="s">
        <v>11</v>
      </c>
      <c r="D50" s="4">
        <f t="array" ref="D50">XLOOKUP($A50&amp;$C50, 'Fall ENG'!$A:$A&amp;'Fall ENG'!$C:$C, 'Fall ENG'!$G:$G)</f>
        <v>130</v>
      </c>
      <c r="E50" s="4">
        <f t="array" ref="E50">XLOOKUP($A50&amp;$C50, 'Spring ENG'!$A:$A&amp;'Spring ENG'!$C:$C, 'Spring ENG'!$G:$G)</f>
        <v>122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 t="s">
        <v>51</v>
      </c>
      <c r="B51" s="6" t="s">
        <v>52</v>
      </c>
      <c r="C51" s="4" t="s">
        <v>9</v>
      </c>
      <c r="D51" s="4">
        <f t="array" ref="D51">XLOOKUP($A51&amp;$C51, 'Fall ENG'!$A:$A&amp;'Fall ENG'!$C:$C, 'Fall ENG'!$G:$G)</f>
        <v>0.1484</v>
      </c>
      <c r="E51" s="4">
        <f t="array" ref="E51">XLOOKUP($A51&amp;$C51, 'Spring ENG'!$A:$A&amp;'Spring ENG'!$C:$C, 'Spring ENG'!$G:$G)</f>
        <v>0.3405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 t="s">
        <v>51</v>
      </c>
      <c r="B52" s="6" t="s">
        <v>52</v>
      </c>
      <c r="C52" s="4" t="s">
        <v>10</v>
      </c>
      <c r="D52" s="4">
        <f t="array" ref="D52">XLOOKUP($A52&amp;$C52, 'Fall ENG'!$A:$A&amp;'Fall ENG'!$C:$C, 'Fall ENG'!$G:$G)</f>
        <v>0.1042</v>
      </c>
      <c r="E52" s="4">
        <f t="array" ref="E52">XLOOKUP($A52&amp;$C52, 'Spring ENG'!$A:$A&amp;'Spring ENG'!$C:$C, 'Spring ENG'!$G:$G)</f>
        <v>0.0001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 t="s">
        <v>51</v>
      </c>
      <c r="B53" s="6" t="s">
        <v>52</v>
      </c>
      <c r="C53" s="4" t="s">
        <v>11</v>
      </c>
      <c r="D53" s="4">
        <f t="array" ref="D53">XLOOKUP($A53&amp;$C53, 'Fall ENG'!$A:$A&amp;'Fall ENG'!$C:$C, 'Fall ENG'!$G:$G)</f>
        <v>121</v>
      </c>
      <c r="E53" s="4">
        <f t="array" ref="E53">XLOOKUP($A53&amp;$C53, 'Spring ENG'!$A:$A&amp;'Spring ENG'!$C:$C, 'Spring ENG'!$G:$G)</f>
        <v>126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 t="s">
        <v>53</v>
      </c>
      <c r="B54" s="6" t="s">
        <v>54</v>
      </c>
      <c r="C54" s="4" t="s">
        <v>9</v>
      </c>
      <c r="D54" s="4">
        <f t="array" ref="D54">XLOOKUP($A54&amp;$C54, 'Fall ENG'!$A:$A&amp;'Fall ENG'!$C:$C, 'Fall ENG'!$G:$G)</f>
        <v>0.0986</v>
      </c>
      <c r="E54" s="4">
        <f t="array" ref="E54">XLOOKUP($A54&amp;$C54, 'Spring ENG'!$A:$A&amp;'Spring ENG'!$C:$C, 'Spring ENG'!$G:$G)</f>
        <v>0.3828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 t="s">
        <v>53</v>
      </c>
      <c r="B55" s="6" t="s">
        <v>54</v>
      </c>
      <c r="C55" s="4" t="s">
        <v>10</v>
      </c>
      <c r="D55" s="4">
        <f t="array" ref="D55">XLOOKUP($A55&amp;$C55, 'Fall ENG'!$A:$A&amp;'Fall ENG'!$C:$C, 'Fall ENG'!$G:$G)</f>
        <v>0.5194</v>
      </c>
      <c r="E55" s="4">
        <f t="array" ref="E55">XLOOKUP($A55&amp;$C55, 'Spring ENG'!$A:$A&amp;'Spring ENG'!$C:$C, 'Spring ENG'!$G:$G)</f>
        <v>0.0194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 t="s">
        <v>53</v>
      </c>
      <c r="B56" s="6" t="s">
        <v>54</v>
      </c>
      <c r="C56" s="4" t="s">
        <v>11</v>
      </c>
      <c r="D56" s="4">
        <f t="array" ref="D56">XLOOKUP($A56&amp;$C56, 'Fall ENG'!$A:$A&amp;'Fall ENG'!$C:$C, 'Fall ENG'!$G:$G)</f>
        <v>45</v>
      </c>
      <c r="E56" s="4">
        <f t="array" ref="E56">XLOOKUP($A56&amp;$C56, 'Spring ENG'!$A:$A&amp;'Spring ENG'!$C:$C, 'Spring ENG'!$G:$G)</f>
        <v>37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 t="s">
        <v>55</v>
      </c>
      <c r="B57" s="6" t="s">
        <v>56</v>
      </c>
      <c r="C57" s="4" t="s">
        <v>9</v>
      </c>
      <c r="D57" s="4">
        <f t="array" ref="D57">XLOOKUP($A57&amp;$C57, 'Fall ENG'!$A:$A&amp;'Fall ENG'!$C:$C, 'Fall ENG'!$G:$G)</f>
        <v>0.4533</v>
      </c>
      <c r="E57" s="4">
        <f t="array" ref="E57">XLOOKUP($A57&amp;$C57, 'Spring ENG'!$A:$A&amp;'Spring ENG'!$C:$C, 'Spring ENG'!$G:$G)</f>
        <v>0.5063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 t="s">
        <v>55</v>
      </c>
      <c r="B58" s="6" t="s">
        <v>56</v>
      </c>
      <c r="C58" s="4" t="s">
        <v>10</v>
      </c>
      <c r="D58" s="4">
        <f t="array" ref="D58">XLOOKUP($A58&amp;$C58, 'Fall ENG'!$A:$A&amp;'Fall ENG'!$C:$C, 'Fall ENG'!$G:$G)</f>
        <v>0.0055</v>
      </c>
      <c r="E58" s="4">
        <f t="array" ref="E58">XLOOKUP($A58&amp;$C58, 'Spring ENG'!$A:$A&amp;'Spring ENG'!$C:$C, 'Spring ENG'!$G:$G)</f>
        <v>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7" t="s">
        <v>55</v>
      </c>
      <c r="B59" s="8" t="s">
        <v>56</v>
      </c>
      <c r="C59" s="7" t="s">
        <v>11</v>
      </c>
      <c r="D59" s="7">
        <f t="array" ref="D59">XLOOKUP($A59&amp;$C59, 'Fall ENG'!$A:$A&amp;'Fall ENG'!$C:$C, 'Fall ENG'!$G:$G)</f>
        <v>36</v>
      </c>
      <c r="E59" s="7">
        <f t="array" ref="E59">XLOOKUP($A59&amp;$C59, 'Spring ENG'!$A:$A&amp;'Spring ENG'!$C:$C, 'Spring ENG'!$G:$G)</f>
        <v>64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1" t="s">
        <v>57</v>
      </c>
      <c r="B61" s="2"/>
      <c r="C61" s="2"/>
      <c r="D61" s="2"/>
      <c r="E61" s="2"/>
      <c r="F61" s="2"/>
      <c r="G61" s="2"/>
      <c r="H61" s="2"/>
      <c r="I61" s="3"/>
      <c r="J61" s="4"/>
      <c r="K61" s="1" t="s">
        <v>58</v>
      </c>
      <c r="L61" s="2"/>
      <c r="M61" s="2"/>
      <c r="N61" s="2"/>
      <c r="O61" s="2"/>
      <c r="P61" s="2"/>
      <c r="Q61" s="2"/>
      <c r="R61" s="2"/>
      <c r="S61" s="3"/>
      <c r="T61" s="4"/>
      <c r="U61" s="4"/>
      <c r="V61" s="4"/>
      <c r="W61" s="4"/>
      <c r="X61" s="4"/>
      <c r="Y61" s="4"/>
      <c r="Z61" s="4"/>
    </row>
    <row r="62" ht="14.25" customHeight="1">
      <c r="A62" s="5" t="s">
        <v>2</v>
      </c>
      <c r="B62" s="5" t="s">
        <v>3</v>
      </c>
      <c r="C62" s="5" t="s">
        <v>4</v>
      </c>
      <c r="D62" s="5" t="s">
        <v>59</v>
      </c>
      <c r="E62" s="5" t="s">
        <v>60</v>
      </c>
      <c r="F62" s="5" t="s">
        <v>61</v>
      </c>
      <c r="G62" s="5" t="s">
        <v>62</v>
      </c>
      <c r="H62" s="5" t="s">
        <v>63</v>
      </c>
      <c r="I62" s="5" t="s">
        <v>64</v>
      </c>
      <c r="J62" s="4"/>
      <c r="K62" s="5" t="s">
        <v>2</v>
      </c>
      <c r="L62" s="5" t="s">
        <v>3</v>
      </c>
      <c r="M62" s="5" t="s">
        <v>4</v>
      </c>
      <c r="N62" s="5" t="s">
        <v>59</v>
      </c>
      <c r="O62" s="5" t="s">
        <v>60</v>
      </c>
      <c r="P62" s="5" t="s">
        <v>61</v>
      </c>
      <c r="Q62" s="5" t="s">
        <v>62</v>
      </c>
      <c r="R62" s="5" t="s">
        <v>63</v>
      </c>
      <c r="S62" s="5" t="s">
        <v>64</v>
      </c>
      <c r="T62" s="4"/>
      <c r="U62" s="4"/>
      <c r="V62" s="4"/>
      <c r="W62" s="4"/>
      <c r="X62" s="4"/>
      <c r="Y62" s="4"/>
      <c r="Z62" s="4"/>
    </row>
    <row r="63" ht="14.25" customHeight="1">
      <c r="A63" s="4" t="s">
        <v>65</v>
      </c>
      <c r="B63" s="6" t="s">
        <v>66</v>
      </c>
      <c r="C63" s="4" t="s">
        <v>9</v>
      </c>
      <c r="D63" s="4">
        <f t="array" ref="D63:F63">XLOOKUP($A63&amp;$C63, 'Fall ENG'!$A:$A&amp;'Fall ENG'!$C:$C, 'Fall ENG'!$H:$J)</f>
        <v>0.4925</v>
      </c>
      <c r="E63" s="4">
        <v>0.296</v>
      </c>
      <c r="F63" s="4">
        <v>0.4535</v>
      </c>
      <c r="G63" s="4">
        <f t="array" ref="G63:I63">XLOOKUP($A63&amp;$C63, 'Spring ENG'!$A:$A&amp;'Spring ENG'!$C:$C, 'Spring ENG'!$H:$J)</f>
        <v>0.4798</v>
      </c>
      <c r="H63" s="4">
        <v>0.2881</v>
      </c>
      <c r="I63" s="4">
        <v>0.3937</v>
      </c>
      <c r="J63" s="4"/>
      <c r="K63" s="4" t="s">
        <v>65</v>
      </c>
      <c r="L63" s="6" t="s">
        <v>66</v>
      </c>
      <c r="M63" s="4" t="s">
        <v>9</v>
      </c>
      <c r="N63" s="4">
        <f t="array" ref="N63:P63">XLOOKUP($A63&amp;$C63, 'Fall SPA'!$A:$A&amp;'Fall SPA'!$C:$C, 'Fall SPA'!$G:$I)</f>
        <v>0.6061</v>
      </c>
      <c r="O63" s="4">
        <v>0.6537</v>
      </c>
      <c r="P63" s="4">
        <v>0.655</v>
      </c>
      <c r="Q63" s="4">
        <f t="array" ref="Q63:S63">XLOOKUP($A63&amp;$C63, 'Spring SPA'!$A:$A&amp;'Spring SPA'!$C:$C, 'Spring SPA'!$G:$I)</f>
        <v>0.6097</v>
      </c>
      <c r="R63" s="4">
        <v>0.3444</v>
      </c>
      <c r="S63" s="4">
        <v>0.5023</v>
      </c>
      <c r="T63" s="4"/>
      <c r="U63" s="4"/>
      <c r="V63" s="4"/>
      <c r="W63" s="4"/>
      <c r="X63" s="4"/>
      <c r="Y63" s="4"/>
      <c r="Z63" s="4"/>
    </row>
    <row r="64" ht="14.25" customHeight="1">
      <c r="A64" s="4" t="s">
        <v>65</v>
      </c>
      <c r="B64" s="6" t="s">
        <v>66</v>
      </c>
      <c r="C64" s="4" t="s">
        <v>10</v>
      </c>
      <c r="D64" s="4">
        <f t="array" ref="D64:F64">XLOOKUP($A64&amp;$C64, 'Fall ENG'!$A:$A&amp;'Fall ENG'!$C:$C, 'Fall ENG'!$H:$J)</f>
        <v>0</v>
      </c>
      <c r="E64" s="4">
        <v>0.0031</v>
      </c>
      <c r="F64" s="4">
        <v>0.0</v>
      </c>
      <c r="G64" s="4">
        <f t="array" ref="G64:I64">XLOOKUP($A64&amp;$C64, 'Spring ENG'!$A:$A&amp;'Spring ENG'!$C:$C, 'Spring ENG'!$H:$J)</f>
        <v>0</v>
      </c>
      <c r="H64" s="4">
        <v>0.0029</v>
      </c>
      <c r="I64" s="4">
        <v>0.0</v>
      </c>
      <c r="J64" s="4"/>
      <c r="K64" s="4" t="s">
        <v>65</v>
      </c>
      <c r="L64" s="6" t="s">
        <v>66</v>
      </c>
      <c r="M64" s="4" t="s">
        <v>10</v>
      </c>
      <c r="N64" s="4">
        <f t="array" ref="N64:P64">XLOOKUP($A64&amp;$C64, 'Fall SPA'!$A:$A&amp;'Fall SPA'!$C:$C, 'Fall SPA'!$G:$I)</f>
        <v>0.0004</v>
      </c>
      <c r="O64" s="4">
        <v>1.0E-4</v>
      </c>
      <c r="P64" s="4">
        <v>1.0E-4</v>
      </c>
      <c r="Q64" s="4">
        <f t="array" ref="Q64:S64">XLOOKUP($A64&amp;$C64, 'Spring SPA'!$A:$A&amp;'Spring SPA'!$C:$C, 'Spring SPA'!$G:$I)</f>
        <v>0.0003</v>
      </c>
      <c r="R64" s="4">
        <v>0.0578</v>
      </c>
      <c r="S64" s="4">
        <v>0.0047</v>
      </c>
      <c r="T64" s="4"/>
      <c r="U64" s="4"/>
      <c r="V64" s="4"/>
      <c r="W64" s="4"/>
      <c r="X64" s="4"/>
      <c r="Y64" s="4"/>
      <c r="Z64" s="4"/>
    </row>
    <row r="65" ht="14.25" customHeight="1">
      <c r="A65" s="4" t="s">
        <v>65</v>
      </c>
      <c r="B65" s="6" t="s">
        <v>66</v>
      </c>
      <c r="C65" s="4" t="s">
        <v>11</v>
      </c>
      <c r="D65" s="4">
        <f t="array" ref="D65:F65">XLOOKUP($A65&amp;$C65, 'Fall ENG'!$A:$A&amp;'Fall ENG'!$C:$C, 'Fall ENG'!$H:$J)</f>
        <v>98</v>
      </c>
      <c r="E65" s="4">
        <v>98.0</v>
      </c>
      <c r="F65" s="4">
        <v>97.0</v>
      </c>
      <c r="G65" s="4">
        <f t="array" ref="G65:I65">XLOOKUP($A65&amp;$C65, 'Spring ENG'!$A:$A&amp;'Spring ENG'!$C:$C, 'Spring ENG'!$H:$J)</f>
        <v>104</v>
      </c>
      <c r="H65" s="4">
        <v>105.0</v>
      </c>
      <c r="I65" s="4">
        <v>104.0</v>
      </c>
      <c r="J65" s="4"/>
      <c r="K65" s="4" t="s">
        <v>65</v>
      </c>
      <c r="L65" s="6" t="s">
        <v>66</v>
      </c>
      <c r="M65" s="4" t="s">
        <v>11</v>
      </c>
      <c r="N65" s="4">
        <f t="array" ref="N65:P65">XLOOKUP($A65&amp;$C65, 'Fall SPA'!$A:$A&amp;'Fall SPA'!$C:$C, 'Fall SPA'!$G:$I)</f>
        <v>30</v>
      </c>
      <c r="O65" s="4">
        <v>29.0</v>
      </c>
      <c r="P65" s="4">
        <v>29.0</v>
      </c>
      <c r="Q65" s="4">
        <f t="array" ref="Q65:S65">XLOOKUP($A65&amp;$C65, 'Spring SPA'!$A:$A&amp;'Spring SPA'!$C:$C, 'Spring SPA'!$G:$I)</f>
        <v>30</v>
      </c>
      <c r="R65" s="4">
        <v>31.0</v>
      </c>
      <c r="S65" s="4">
        <v>30.0</v>
      </c>
      <c r="T65" s="4"/>
      <c r="U65" s="4"/>
      <c r="V65" s="4"/>
      <c r="W65" s="4"/>
      <c r="X65" s="4"/>
      <c r="Y65" s="4"/>
      <c r="Z65" s="4"/>
    </row>
    <row r="66" ht="14.25" customHeight="1">
      <c r="A66" s="4" t="s">
        <v>67</v>
      </c>
      <c r="B66" s="6" t="s">
        <v>68</v>
      </c>
      <c r="C66" s="4" t="s">
        <v>9</v>
      </c>
      <c r="D66" s="4">
        <f t="array" ref="D66:F66">XLOOKUP($A66&amp;$C66, 'Fall ENG'!$A:$A&amp;'Fall ENG'!$C:$C, 'Fall ENG'!$H:$J)</f>
        <v>0.499</v>
      </c>
      <c r="E66" s="4">
        <v>0.3485</v>
      </c>
      <c r="F66" s="4">
        <v>0.4955</v>
      </c>
      <c r="G66" s="4">
        <f t="array" ref="G66:I66">XLOOKUP($A66&amp;$C66, 'Spring ENG'!$A:$A&amp;'Spring ENG'!$C:$C, 'Spring ENG'!$H:$J)</f>
        <v>0.344</v>
      </c>
      <c r="H66" s="4">
        <v>0.3109</v>
      </c>
      <c r="I66" s="4">
        <v>0.3213</v>
      </c>
      <c r="J66" s="4"/>
      <c r="K66" s="4" t="s">
        <v>67</v>
      </c>
      <c r="L66" s="6" t="s">
        <v>68</v>
      </c>
      <c r="M66" s="4" t="s">
        <v>9</v>
      </c>
      <c r="N66" s="4">
        <f t="array" ref="N66:P66">XLOOKUP($A66&amp;$C66, 'Fall SPA'!$A:$A&amp;'Fall SPA'!$C:$C, 'Fall SPA'!$G:$I)</f>
        <v>0.6782</v>
      </c>
      <c r="O66" s="4">
        <v>0.483</v>
      </c>
      <c r="P66" s="4">
        <v>0.5367</v>
      </c>
      <c r="Q66" s="4">
        <f t="array" ref="Q66:S66">XLOOKUP($A66&amp;$C66, 'Spring SPA'!$A:$A&amp;'Spring SPA'!$C:$C, 'Spring SPA'!$G:$I)</f>
        <v>0.6256</v>
      </c>
      <c r="R66" s="4">
        <v>0.3374</v>
      </c>
      <c r="S66" s="4">
        <v>0.4694</v>
      </c>
      <c r="T66" s="4"/>
      <c r="U66" s="4"/>
      <c r="V66" s="4"/>
      <c r="W66" s="4"/>
      <c r="X66" s="4"/>
      <c r="Y66" s="4"/>
      <c r="Z66" s="4"/>
    </row>
    <row r="67" ht="14.25" customHeight="1">
      <c r="A67" s="4" t="s">
        <v>67</v>
      </c>
      <c r="B67" s="6" t="s">
        <v>68</v>
      </c>
      <c r="C67" s="4" t="s">
        <v>10</v>
      </c>
      <c r="D67" s="4">
        <f t="array" ref="D67:F67">XLOOKUP($A67&amp;$C67, 'Fall ENG'!$A:$A&amp;'Fall ENG'!$C:$C, 'Fall ENG'!$H:$J)</f>
        <v>0</v>
      </c>
      <c r="E67" s="4">
        <v>3.0E-4</v>
      </c>
      <c r="F67" s="4">
        <v>0.0</v>
      </c>
      <c r="G67" s="4">
        <f t="array" ref="G67:I67">XLOOKUP($A67&amp;$C67, 'Spring ENG'!$A:$A&amp;'Spring ENG'!$C:$C, 'Spring ENG'!$H:$J)</f>
        <v>0.0001</v>
      </c>
      <c r="H67" s="4">
        <v>5.0E-4</v>
      </c>
      <c r="I67" s="4">
        <v>3.0E-4</v>
      </c>
      <c r="J67" s="4"/>
      <c r="K67" s="4" t="s">
        <v>67</v>
      </c>
      <c r="L67" s="6" t="s">
        <v>68</v>
      </c>
      <c r="M67" s="4" t="s">
        <v>10</v>
      </c>
      <c r="N67" s="4">
        <f t="array" ref="N67:P67">XLOOKUP($A67&amp;$C67, 'Fall SPA'!$A:$A&amp;'Fall SPA'!$C:$C, 'Fall SPA'!$G:$I)</f>
        <v>0.0001</v>
      </c>
      <c r="O67" s="4">
        <v>0.0092</v>
      </c>
      <c r="P67" s="4">
        <v>0.0032</v>
      </c>
      <c r="Q67" s="4">
        <f t="array" ref="Q67:S67">XLOOKUP($A67&amp;$C67, 'Spring SPA'!$A:$A&amp;'Spring SPA'!$C:$C, 'Spring SPA'!$G:$I)</f>
        <v>0.0006</v>
      </c>
      <c r="R67" s="4">
        <v>0.0852</v>
      </c>
      <c r="S67" s="4">
        <v>0.0155</v>
      </c>
      <c r="T67" s="4"/>
      <c r="U67" s="4"/>
      <c r="V67" s="4"/>
      <c r="W67" s="4"/>
      <c r="X67" s="4"/>
      <c r="Y67" s="4"/>
      <c r="Z67" s="4"/>
    </row>
    <row r="68" ht="14.25" customHeight="1">
      <c r="A68" s="4" t="s">
        <v>67</v>
      </c>
      <c r="B68" s="6" t="s">
        <v>68</v>
      </c>
      <c r="C68" s="4" t="s">
        <v>11</v>
      </c>
      <c r="D68" s="4">
        <f t="array" ref="D68:F68">XLOOKUP($A68&amp;$C68, 'Fall ENG'!$A:$A&amp;'Fall ENG'!$C:$C, 'Fall ENG'!$H:$J)</f>
        <v>103</v>
      </c>
      <c r="E68" s="4">
        <v>102.0</v>
      </c>
      <c r="F68" s="4">
        <v>101.0</v>
      </c>
      <c r="G68" s="4">
        <f t="array" ref="G68:I68">XLOOKUP($A68&amp;$C68, 'Spring ENG'!$A:$A&amp;'Spring ENG'!$C:$C, 'Spring ENG'!$H:$J)</f>
        <v>121</v>
      </c>
      <c r="H68" s="4">
        <v>121.0</v>
      </c>
      <c r="I68" s="4">
        <v>121.0</v>
      </c>
      <c r="J68" s="4"/>
      <c r="K68" s="4" t="s">
        <v>67</v>
      </c>
      <c r="L68" s="6" t="s">
        <v>68</v>
      </c>
      <c r="M68" s="4" t="s">
        <v>11</v>
      </c>
      <c r="N68" s="4">
        <f t="array" ref="N68:P68">XLOOKUP($A68&amp;$C68, 'Fall SPA'!$A:$A&amp;'Fall SPA'!$C:$C, 'Fall SPA'!$G:$I)</f>
        <v>29</v>
      </c>
      <c r="O68" s="4">
        <v>28.0</v>
      </c>
      <c r="P68" s="4">
        <v>28.0</v>
      </c>
      <c r="Q68" s="4">
        <f t="array" ref="Q68:S68">XLOOKUP($A68&amp;$C68, 'Spring SPA'!$A:$A&amp;'Spring SPA'!$C:$C, 'Spring SPA'!$G:$I)</f>
        <v>26</v>
      </c>
      <c r="R68" s="4">
        <v>27.0</v>
      </c>
      <c r="S68" s="4">
        <v>26.0</v>
      </c>
      <c r="T68" s="4"/>
      <c r="U68" s="4"/>
      <c r="V68" s="4"/>
      <c r="W68" s="4"/>
      <c r="X68" s="4"/>
      <c r="Y68" s="4"/>
      <c r="Z68" s="4"/>
    </row>
    <row r="69" ht="14.25" customHeight="1">
      <c r="A69" s="4" t="s">
        <v>69</v>
      </c>
      <c r="B69" s="6" t="s">
        <v>70</v>
      </c>
      <c r="C69" s="4" t="s">
        <v>9</v>
      </c>
      <c r="D69" s="4">
        <f t="array" ref="D69:F69">XLOOKUP($A69&amp;$C69, 'Fall ENG'!$A:$A&amp;'Fall ENG'!$C:$C, 'Fall ENG'!$H:$J)</f>
        <v>0.3743</v>
      </c>
      <c r="E69" s="4">
        <v>0.2511</v>
      </c>
      <c r="F69" s="4">
        <v>0.3488</v>
      </c>
      <c r="G69" s="4">
        <f t="array" ref="G69:I69">XLOOKUP($A69&amp;$C69, 'Spring ENG'!$A:$A&amp;'Spring ENG'!$C:$C, 'Spring ENG'!$H:$J)</f>
        <v>0.5567</v>
      </c>
      <c r="H69" s="4">
        <v>0.4799</v>
      </c>
      <c r="I69" s="4">
        <v>0.5615</v>
      </c>
      <c r="J69" s="4"/>
      <c r="K69" s="4" t="s">
        <v>69</v>
      </c>
      <c r="L69" s="6" t="s">
        <v>70</v>
      </c>
      <c r="M69" s="4" t="s">
        <v>9</v>
      </c>
      <c r="N69" s="4">
        <f t="array" ref="N69:P69">XLOOKUP($A69&amp;$C69, 'Fall SPA'!$A:$A&amp;'Fall SPA'!$C:$C, 'Fall SPA'!$G:$I)</f>
        <v>0.3485</v>
      </c>
      <c r="O69" s="4">
        <v>0.3438</v>
      </c>
      <c r="P69" s="4">
        <v>0.3033</v>
      </c>
      <c r="Q69" s="4">
        <f t="array" ref="Q69:S69">XLOOKUP($A69&amp;$C69, 'Spring SPA'!$A:$A&amp;'Spring SPA'!$C:$C, 'Spring SPA'!$G:$I)</f>
        <v>0.7205</v>
      </c>
      <c r="R69" s="4">
        <v>0.5454</v>
      </c>
      <c r="S69" s="4">
        <v>0.7004</v>
      </c>
      <c r="T69" s="4"/>
      <c r="U69" s="4"/>
      <c r="V69" s="4"/>
      <c r="W69" s="4"/>
      <c r="X69" s="4"/>
      <c r="Y69" s="4"/>
      <c r="Z69" s="4"/>
    </row>
    <row r="70" ht="14.25" customHeight="1">
      <c r="A70" s="4" t="s">
        <v>69</v>
      </c>
      <c r="B70" s="6" t="s">
        <v>70</v>
      </c>
      <c r="C70" s="4" t="s">
        <v>10</v>
      </c>
      <c r="D70" s="4">
        <f t="array" ref="D70:F70">XLOOKUP($A70&amp;$C70, 'Fall ENG'!$A:$A&amp;'Fall ENG'!$C:$C, 'Fall ENG'!$H:$J)</f>
        <v>0</v>
      </c>
      <c r="E70" s="4">
        <v>0.0066</v>
      </c>
      <c r="F70" s="4">
        <v>1.0E-4</v>
      </c>
      <c r="G70" s="4">
        <f t="array" ref="G70:I70">XLOOKUP($A70&amp;$C70, 'Spring ENG'!$A:$A&amp;'Spring ENG'!$C:$C, 'Spring ENG'!$H:$J)</f>
        <v>0.0005</v>
      </c>
      <c r="H70" s="4">
        <v>0.0035</v>
      </c>
      <c r="I70" s="4">
        <v>4.0E-4</v>
      </c>
      <c r="J70" s="4"/>
      <c r="K70" s="4" t="s">
        <v>69</v>
      </c>
      <c r="L70" s="6" t="s">
        <v>70</v>
      </c>
      <c r="M70" s="4" t="s">
        <v>10</v>
      </c>
      <c r="N70" s="4">
        <f t="array" ref="N70:P70">XLOOKUP($A70&amp;$C70, 'Fall SPA'!$A:$A&amp;'Fall SPA'!$C:$C, 'Fall SPA'!$G:$I)</f>
        <v>0.0639</v>
      </c>
      <c r="O70" s="4">
        <v>0.0733</v>
      </c>
      <c r="P70" s="4">
        <v>0.1166</v>
      </c>
      <c r="Q70" s="4">
        <f t="array" ref="Q70:S70">XLOOKUP($A70&amp;$C70, 'Spring SPA'!$A:$A&amp;'Spring SPA'!$C:$C, 'Spring SPA'!$G:$I)</f>
        <v>0.0011</v>
      </c>
      <c r="R70" s="4">
        <v>0.0236</v>
      </c>
      <c r="S70" s="4">
        <v>0.0017</v>
      </c>
      <c r="T70" s="4"/>
      <c r="U70" s="4"/>
      <c r="V70" s="4"/>
      <c r="W70" s="4"/>
      <c r="X70" s="4"/>
      <c r="Y70" s="4"/>
      <c r="Z70" s="4"/>
    </row>
    <row r="71" ht="14.25" customHeight="1">
      <c r="A71" s="4" t="s">
        <v>69</v>
      </c>
      <c r="B71" s="6" t="s">
        <v>70</v>
      </c>
      <c r="C71" s="4" t="s">
        <v>11</v>
      </c>
      <c r="D71" s="4">
        <f t="array" ref="D71:F71">XLOOKUP($A71&amp;$C71, 'Fall ENG'!$A:$A&amp;'Fall ENG'!$C:$C, 'Fall ENG'!$H:$J)</f>
        <v>117</v>
      </c>
      <c r="E71" s="4">
        <v>116.0</v>
      </c>
      <c r="F71" s="4">
        <v>114.0</v>
      </c>
      <c r="G71" s="4">
        <f t="array" ref="G71:I71">XLOOKUP($A71&amp;$C71, 'Spring ENG'!$A:$A&amp;'Spring ENG'!$C:$C, 'Spring ENG'!$H:$J)</f>
        <v>35</v>
      </c>
      <c r="H71" s="4">
        <v>35.0</v>
      </c>
      <c r="I71" s="4">
        <v>35.0</v>
      </c>
      <c r="J71" s="4"/>
      <c r="K71" s="4" t="s">
        <v>69</v>
      </c>
      <c r="L71" s="6" t="s">
        <v>70</v>
      </c>
      <c r="M71" s="4" t="s">
        <v>11</v>
      </c>
      <c r="N71" s="4">
        <f t="array" ref="N71:P71">XLOOKUP($A71&amp;$C71, 'Fall SPA'!$A:$A&amp;'Fall SPA'!$C:$C, 'Fall SPA'!$G:$I)</f>
        <v>29</v>
      </c>
      <c r="O71" s="4">
        <v>28.0</v>
      </c>
      <c r="P71" s="4">
        <v>28.0</v>
      </c>
      <c r="Q71" s="4">
        <f t="array" ref="Q71:S71">XLOOKUP($A71&amp;$C71, 'Spring SPA'!$A:$A&amp;'Spring SPA'!$C:$C, 'Spring SPA'!$G:$I)</f>
        <v>17</v>
      </c>
      <c r="R71" s="4">
        <v>17.0</v>
      </c>
      <c r="S71" s="4">
        <v>17.0</v>
      </c>
      <c r="T71" s="4"/>
      <c r="U71" s="4"/>
      <c r="V71" s="4"/>
      <c r="W71" s="4"/>
      <c r="X71" s="4"/>
      <c r="Y71" s="4"/>
      <c r="Z71" s="4"/>
    </row>
    <row r="72" ht="14.25" customHeight="1">
      <c r="A72" s="4" t="s">
        <v>71</v>
      </c>
      <c r="B72" s="6" t="s">
        <v>72</v>
      </c>
      <c r="C72" s="4" t="s">
        <v>9</v>
      </c>
      <c r="D72" s="4">
        <f t="array" ref="D72:F72">XLOOKUP($A72&amp;$C72, 'Fall ENG'!$A:$A&amp;'Fall ENG'!$C:$C, 'Fall ENG'!$H:$J)</f>
        <v>0.5683</v>
      </c>
      <c r="E72" s="4">
        <v>0.2693</v>
      </c>
      <c r="F72" s="4">
        <v>0.4712</v>
      </c>
      <c r="G72" s="4">
        <f t="array" ref="G72:I72">XLOOKUP($A72&amp;$C72, 'Spring ENG'!$A:$A&amp;'Spring ENG'!$C:$C, 'Spring ENG'!$H:$J)</f>
        <v>0.6644</v>
      </c>
      <c r="H72" s="4">
        <v>0.6186</v>
      </c>
      <c r="I72" s="4">
        <v>0.7122</v>
      </c>
      <c r="J72" s="4"/>
      <c r="K72" s="4" t="s">
        <v>71</v>
      </c>
      <c r="L72" s="6" t="s">
        <v>72</v>
      </c>
      <c r="M72" s="4" t="s">
        <v>9</v>
      </c>
      <c r="N72" s="4">
        <f t="array" ref="N72:P72">XLOOKUP($A72&amp;$C72, 'Fall SPA'!$A:$A&amp;'Fall SPA'!$C:$C, 'Fall SPA'!$G:$I)</f>
        <v>0.7246</v>
      </c>
      <c r="O72" s="4">
        <v>0.5016</v>
      </c>
      <c r="P72" s="4">
        <v>0.6123</v>
      </c>
      <c r="Q72" s="4">
        <f t="array" ref="Q72:S72">XLOOKUP($A72&amp;$C72, 'Spring SPA'!$A:$A&amp;'Spring SPA'!$C:$C, 'Spring SPA'!$G:$I)</f>
        <v>0.6458</v>
      </c>
      <c r="R72" s="4">
        <v>0.4181</v>
      </c>
      <c r="S72" s="4">
        <v>0.5568</v>
      </c>
      <c r="T72" s="4"/>
      <c r="U72" s="4"/>
      <c r="V72" s="4"/>
      <c r="W72" s="4"/>
      <c r="X72" s="4"/>
      <c r="Y72" s="4"/>
      <c r="Z72" s="4"/>
    </row>
    <row r="73" ht="14.25" customHeight="1">
      <c r="A73" s="4" t="s">
        <v>71</v>
      </c>
      <c r="B73" s="6" t="s">
        <v>72</v>
      </c>
      <c r="C73" s="4" t="s">
        <v>10</v>
      </c>
      <c r="D73" s="4">
        <f t="array" ref="D73:F73">XLOOKUP($A73&amp;$C73, 'Fall ENG'!$A:$A&amp;'Fall ENG'!$C:$C, 'Fall ENG'!$H:$J)</f>
        <v>0</v>
      </c>
      <c r="E73" s="4">
        <v>0.0015</v>
      </c>
      <c r="F73" s="4">
        <v>0.0</v>
      </c>
      <c r="G73" s="4">
        <f t="array" ref="G73:I73">XLOOKUP($A73&amp;$C73, 'Spring ENG'!$A:$A&amp;'Spring ENG'!$C:$C, 'Spring ENG'!$H:$J)</f>
        <v>0</v>
      </c>
      <c r="H73" s="4">
        <v>0.0</v>
      </c>
      <c r="I73" s="4">
        <v>0.0</v>
      </c>
      <c r="J73" s="4"/>
      <c r="K73" s="4" t="s">
        <v>71</v>
      </c>
      <c r="L73" s="6" t="s">
        <v>72</v>
      </c>
      <c r="M73" s="4" t="s">
        <v>10</v>
      </c>
      <c r="N73" s="4">
        <f t="array" ref="N73:P73">XLOOKUP($A73&amp;$C73, 'Fall SPA'!$A:$A&amp;'Fall SPA'!$C:$C, 'Fall SPA'!$G:$I)</f>
        <v>0</v>
      </c>
      <c r="O73" s="4">
        <v>0.004</v>
      </c>
      <c r="P73" s="4">
        <v>3.0E-4</v>
      </c>
      <c r="Q73" s="4">
        <f t="array" ref="Q73:S73">XLOOKUP($A73&amp;$C73, 'Spring SPA'!$A:$A&amp;'Spring SPA'!$C:$C, 'Spring SPA'!$G:$I)</f>
        <v>0.0051</v>
      </c>
      <c r="R73" s="4">
        <v>0.0949</v>
      </c>
      <c r="S73" s="4">
        <v>0.0203</v>
      </c>
      <c r="T73" s="4"/>
      <c r="U73" s="4"/>
      <c r="V73" s="4"/>
      <c r="W73" s="4"/>
      <c r="X73" s="4"/>
      <c r="Y73" s="4"/>
      <c r="Z73" s="4"/>
    </row>
    <row r="74" ht="14.25" customHeight="1">
      <c r="A74" s="4" t="s">
        <v>71</v>
      </c>
      <c r="B74" s="6" t="s">
        <v>72</v>
      </c>
      <c r="C74" s="4" t="s">
        <v>11</v>
      </c>
      <c r="D74" s="4">
        <f t="array" ref="D74:F74">XLOOKUP($A74&amp;$C74, 'Fall ENG'!$A:$A&amp;'Fall ENG'!$C:$C, 'Fall ENG'!$H:$J)</f>
        <v>138</v>
      </c>
      <c r="E74" s="4">
        <v>136.0</v>
      </c>
      <c r="F74" s="4">
        <v>135.0</v>
      </c>
      <c r="G74" s="4">
        <f t="array" ref="G74:I74">XLOOKUP($A74&amp;$C74, 'Spring ENG'!$A:$A&amp;'Spring ENG'!$C:$C, 'Spring ENG'!$H:$J)</f>
        <v>44</v>
      </c>
      <c r="H74" s="4">
        <v>44.0</v>
      </c>
      <c r="I74" s="4">
        <v>44.0</v>
      </c>
      <c r="J74" s="4"/>
      <c r="K74" s="4" t="s">
        <v>71</v>
      </c>
      <c r="L74" s="6" t="s">
        <v>72</v>
      </c>
      <c r="M74" s="4" t="s">
        <v>11</v>
      </c>
      <c r="N74" s="4">
        <f t="array" ref="N74:P74">XLOOKUP($A74&amp;$C74, 'Fall SPA'!$A:$A&amp;'Fall SPA'!$C:$C, 'Fall SPA'!$G:$I)</f>
        <v>32</v>
      </c>
      <c r="O74" s="4">
        <v>31.0</v>
      </c>
      <c r="P74" s="4">
        <v>31.0</v>
      </c>
      <c r="Q74" s="4">
        <f t="array" ref="Q74:S74">XLOOKUP($A74&amp;$C74, 'Spring SPA'!$A:$A&amp;'Spring SPA'!$C:$C, 'Spring SPA'!$G:$I)</f>
        <v>17</v>
      </c>
      <c r="R74" s="4">
        <v>17.0</v>
      </c>
      <c r="S74" s="4">
        <v>17.0</v>
      </c>
      <c r="T74" s="4"/>
      <c r="U74" s="4"/>
      <c r="V74" s="4"/>
      <c r="W74" s="4"/>
      <c r="X74" s="4"/>
      <c r="Y74" s="4"/>
      <c r="Z74" s="4"/>
    </row>
    <row r="75" ht="14.25" customHeight="1">
      <c r="A75" s="4" t="s">
        <v>73</v>
      </c>
      <c r="B75" s="6" t="s">
        <v>74</v>
      </c>
      <c r="C75" s="4" t="s">
        <v>9</v>
      </c>
      <c r="D75" s="4">
        <f t="array" ref="D75:F75">XLOOKUP($A75&amp;$C75, 'Fall ENG'!$A:$A&amp;'Fall ENG'!$C:$C, 'Fall ENG'!$H:$J)</f>
        <v>0.5736</v>
      </c>
      <c r="E75" s="4">
        <v>0.2752</v>
      </c>
      <c r="F75" s="4">
        <v>0.5136</v>
      </c>
      <c r="G75" s="4">
        <f t="array" ref="G75:I75">XLOOKUP($A75&amp;$C75, 'Spring ENG'!$A:$A&amp;'Spring ENG'!$C:$C, 'Spring ENG'!$H:$J)</f>
        <v>0.4541</v>
      </c>
      <c r="H75" s="4">
        <v>0.385</v>
      </c>
      <c r="I75" s="4">
        <v>0.4807</v>
      </c>
      <c r="J75" s="4"/>
      <c r="K75" s="4" t="s">
        <v>73</v>
      </c>
      <c r="L75" s="6" t="s">
        <v>74</v>
      </c>
      <c r="M75" s="4" t="s">
        <v>9</v>
      </c>
      <c r="N75" s="4">
        <f t="array" ref="N75:P75">XLOOKUP($A75&amp;$C75, 'Fall SPA'!$A:$A&amp;'Fall SPA'!$C:$C, 'Fall SPA'!$G:$I)</f>
        <v>0.5573</v>
      </c>
      <c r="O75" s="4">
        <v>0.4235</v>
      </c>
      <c r="P75" s="4">
        <v>0.5084</v>
      </c>
      <c r="Q75" s="4">
        <f t="array" ref="Q75:S75">XLOOKUP($A75&amp;$C75, 'Spring SPA'!$A:$A&amp;'Spring SPA'!$C:$C, 'Spring SPA'!$G:$I)</f>
        <v>0.7839</v>
      </c>
      <c r="R75" s="4">
        <v>0.2392</v>
      </c>
      <c r="S75" s="4">
        <v>0.5458</v>
      </c>
      <c r="T75" s="4"/>
      <c r="U75" s="4"/>
      <c r="V75" s="4"/>
      <c r="W75" s="4"/>
      <c r="X75" s="4"/>
      <c r="Y75" s="4"/>
      <c r="Z75" s="4"/>
    </row>
    <row r="76" ht="14.25" customHeight="1">
      <c r="A76" s="4" t="s">
        <v>73</v>
      </c>
      <c r="B76" s="6" t="s">
        <v>74</v>
      </c>
      <c r="C76" s="4" t="s">
        <v>10</v>
      </c>
      <c r="D76" s="4">
        <f t="array" ref="D76:F76">XLOOKUP($A76&amp;$C76, 'Fall ENG'!$A:$A&amp;'Fall ENG'!$C:$C, 'Fall ENG'!$H:$J)</f>
        <v>0</v>
      </c>
      <c r="E76" s="4">
        <v>0.0019</v>
      </c>
      <c r="F76" s="4">
        <v>0.0</v>
      </c>
      <c r="G76" s="4">
        <f t="array" ref="G76:I76">XLOOKUP($A76&amp;$C76, 'Spring ENG'!$A:$A&amp;'Spring ENG'!$C:$C, 'Spring ENG'!$H:$J)</f>
        <v>0.0008</v>
      </c>
      <c r="H76" s="4">
        <v>0.0053</v>
      </c>
      <c r="I76" s="4">
        <v>4.0E-4</v>
      </c>
      <c r="J76" s="4"/>
      <c r="K76" s="4" t="s">
        <v>73</v>
      </c>
      <c r="L76" s="6" t="s">
        <v>74</v>
      </c>
      <c r="M76" s="4" t="s">
        <v>10</v>
      </c>
      <c r="N76" s="4">
        <f t="array" ref="N76:P76">XLOOKUP($A76&amp;$C76, 'Fall SPA'!$A:$A&amp;'Fall SPA'!$C:$C, 'Fall SPA'!$G:$I)</f>
        <v>0.0006</v>
      </c>
      <c r="O76" s="4">
        <v>0.014</v>
      </c>
      <c r="P76" s="4">
        <v>0.0025</v>
      </c>
      <c r="Q76" s="4">
        <f t="array" ref="Q76:S76">XLOOKUP($A76&amp;$C76, 'Spring SPA'!$A:$A&amp;'Spring SPA'!$C:$C, 'Spring SPA'!$G:$I)</f>
        <v>0</v>
      </c>
      <c r="R76" s="4">
        <v>0.2965</v>
      </c>
      <c r="S76" s="4">
        <v>0.0105</v>
      </c>
      <c r="T76" s="4"/>
      <c r="U76" s="4"/>
      <c r="V76" s="4"/>
      <c r="W76" s="4"/>
      <c r="X76" s="4"/>
      <c r="Y76" s="4"/>
      <c r="Z76" s="4"/>
    </row>
    <row r="77" ht="14.25" customHeight="1">
      <c r="A77" s="4" t="s">
        <v>73</v>
      </c>
      <c r="B77" s="6" t="s">
        <v>74</v>
      </c>
      <c r="C77" s="4" t="s">
        <v>11</v>
      </c>
      <c r="D77" s="4">
        <f t="array" ref="D77:F77">XLOOKUP($A77&amp;$C77, 'Fall ENG'!$A:$A&amp;'Fall ENG'!$C:$C, 'Fall ENG'!$H:$J)</f>
        <v>126</v>
      </c>
      <c r="E77" s="4">
        <v>125.0</v>
      </c>
      <c r="F77" s="4">
        <v>124.0</v>
      </c>
      <c r="G77" s="4">
        <f t="array" ref="G77:I77">XLOOKUP($A77&amp;$C77, 'Spring ENG'!$A:$A&amp;'Spring ENG'!$C:$C, 'Spring ENG'!$H:$J)</f>
        <v>51</v>
      </c>
      <c r="H77" s="4">
        <v>51.0</v>
      </c>
      <c r="I77" s="4">
        <v>51.0</v>
      </c>
      <c r="J77" s="4"/>
      <c r="K77" s="4" t="s">
        <v>73</v>
      </c>
      <c r="L77" s="6" t="s">
        <v>74</v>
      </c>
      <c r="M77" s="4" t="s">
        <v>11</v>
      </c>
      <c r="N77" s="4">
        <f t="array" ref="N77:P77">XLOOKUP($A77&amp;$C77, 'Fall SPA'!$A:$A&amp;'Fall SPA'!$C:$C, 'Fall SPA'!$G:$I)</f>
        <v>34</v>
      </c>
      <c r="O77" s="4">
        <v>33.0</v>
      </c>
      <c r="P77" s="4">
        <v>33.0</v>
      </c>
      <c r="Q77" s="4">
        <f t="array" ref="Q77:S77">XLOOKUP($A77&amp;$C77, 'Spring SPA'!$A:$A&amp;'Spring SPA'!$C:$C, 'Spring SPA'!$G:$I)</f>
        <v>21</v>
      </c>
      <c r="R77" s="4">
        <v>21.0</v>
      </c>
      <c r="S77" s="4">
        <v>21.0</v>
      </c>
      <c r="T77" s="4"/>
      <c r="U77" s="4"/>
      <c r="V77" s="4"/>
      <c r="W77" s="4"/>
      <c r="X77" s="4"/>
      <c r="Y77" s="4"/>
      <c r="Z77" s="4"/>
    </row>
    <row r="78" ht="14.25" customHeight="1">
      <c r="A78" s="4" t="s">
        <v>75</v>
      </c>
      <c r="B78" s="6" t="s">
        <v>76</v>
      </c>
      <c r="C78" s="4" t="s">
        <v>9</v>
      </c>
      <c r="D78" s="4">
        <f t="array" ref="D78:F78">XLOOKUP($A78&amp;$C78, 'Fall ENG'!$A:$A&amp;'Fall ENG'!$C:$C, 'Fall ENG'!$H:$J)</f>
        <v>0.3088</v>
      </c>
      <c r="E78" s="4">
        <v>0.1304</v>
      </c>
      <c r="F78" s="4">
        <v>0.2301</v>
      </c>
      <c r="G78" s="4">
        <f t="array" ref="G78:I78">XLOOKUP($A78&amp;$C78, 'Spring ENG'!$A:$A&amp;'Spring ENG'!$C:$C, 'Spring ENG'!$H:$J)</f>
        <v>0.6095</v>
      </c>
      <c r="H78" s="4">
        <v>0.5064</v>
      </c>
      <c r="I78" s="4">
        <v>0.5898</v>
      </c>
      <c r="J78" s="4"/>
      <c r="K78" s="4" t="s">
        <v>75</v>
      </c>
      <c r="L78" s="6" t="s">
        <v>76</v>
      </c>
      <c r="M78" s="4" t="s">
        <v>9</v>
      </c>
      <c r="N78" s="4">
        <f t="array" ref="N78:P78">XLOOKUP($A78&amp;$C78, 'Fall SPA'!$A:$A&amp;'Fall SPA'!$C:$C, 'Fall SPA'!$G:$I)</f>
        <v>0.3055</v>
      </c>
      <c r="O78" s="4">
        <v>0.4012</v>
      </c>
      <c r="P78" s="4">
        <v>0.3968</v>
      </c>
      <c r="Q78" s="4">
        <f t="array" ref="Q78:S78">XLOOKUP($A78&amp;$C78, 'Spring SPA'!$A:$A&amp;'Spring SPA'!$C:$C, 'Spring SPA'!$G:$I)</f>
        <v>0.6473</v>
      </c>
      <c r="R78" s="4">
        <v>0.5554</v>
      </c>
      <c r="S78" s="4">
        <v>0.6395</v>
      </c>
      <c r="T78" s="4"/>
      <c r="U78" s="4"/>
      <c r="V78" s="4"/>
      <c r="W78" s="4"/>
      <c r="X78" s="4"/>
      <c r="Y78" s="4"/>
      <c r="Z78" s="4"/>
    </row>
    <row r="79" ht="14.25" customHeight="1">
      <c r="A79" s="4" t="s">
        <v>75</v>
      </c>
      <c r="B79" s="6" t="s">
        <v>76</v>
      </c>
      <c r="C79" s="4" t="s">
        <v>10</v>
      </c>
      <c r="D79" s="4">
        <f t="array" ref="D79:F79">XLOOKUP($A79&amp;$C79, 'Fall ENG'!$A:$A&amp;'Fall ENG'!$C:$C, 'Fall ENG'!$H:$J)</f>
        <v>0.0011</v>
      </c>
      <c r="E79" s="4">
        <v>0.1766</v>
      </c>
      <c r="F79" s="4">
        <v>0.0166</v>
      </c>
      <c r="G79" s="4">
        <f t="array" ref="G79:I79">XLOOKUP($A79&amp;$C79, 'Spring ENG'!$A:$A&amp;'Spring ENG'!$C:$C, 'Spring ENG'!$H:$J)</f>
        <v>0</v>
      </c>
      <c r="H79" s="4">
        <v>0.0</v>
      </c>
      <c r="I79" s="4">
        <v>0.0</v>
      </c>
      <c r="J79" s="4"/>
      <c r="K79" s="4" t="s">
        <v>75</v>
      </c>
      <c r="L79" s="6" t="s">
        <v>76</v>
      </c>
      <c r="M79" s="4" t="s">
        <v>10</v>
      </c>
      <c r="N79" s="4">
        <f t="array" ref="N79:P79">XLOOKUP($A79&amp;$C79, 'Fall SPA'!$A:$A&amp;'Fall SPA'!$C:$C, 'Fall SPA'!$G:$I)</f>
        <v>0.0789</v>
      </c>
      <c r="O79" s="4">
        <v>0.0207</v>
      </c>
      <c r="P79" s="4">
        <v>0.0222</v>
      </c>
      <c r="Q79" s="4">
        <f t="array" ref="Q79:S79">XLOOKUP($A79&amp;$C79, 'Spring SPA'!$A:$A&amp;'Spring SPA'!$C:$C, 'Spring SPA'!$G:$I)</f>
        <v>0.0002</v>
      </c>
      <c r="R79" s="4">
        <v>0.0018</v>
      </c>
      <c r="S79" s="4">
        <v>2.0E-4</v>
      </c>
      <c r="T79" s="4"/>
      <c r="U79" s="4"/>
      <c r="V79" s="4"/>
      <c r="W79" s="4"/>
      <c r="X79" s="4"/>
      <c r="Y79" s="4"/>
      <c r="Z79" s="4"/>
    </row>
    <row r="80" ht="14.25" customHeight="1">
      <c r="A80" s="4" t="s">
        <v>75</v>
      </c>
      <c r="B80" s="6" t="s">
        <v>76</v>
      </c>
      <c r="C80" s="4" t="s">
        <v>11</v>
      </c>
      <c r="D80" s="4">
        <f t="array" ref="D80:F80">XLOOKUP($A80&amp;$C80, 'Fall ENG'!$A:$A&amp;'Fall ENG'!$C:$C, 'Fall ENG'!$H:$J)</f>
        <v>109</v>
      </c>
      <c r="E80" s="4">
        <v>109.0</v>
      </c>
      <c r="F80" s="4">
        <v>108.0</v>
      </c>
      <c r="G80" s="4">
        <f t="array" ref="G80:I80">XLOOKUP($A80&amp;$C80, 'Spring ENG'!$A:$A&amp;'Spring ENG'!$C:$C, 'Spring ENG'!$H:$J)</f>
        <v>114</v>
      </c>
      <c r="H80" s="4">
        <v>115.0</v>
      </c>
      <c r="I80" s="4">
        <v>114.0</v>
      </c>
      <c r="J80" s="4"/>
      <c r="K80" s="4" t="s">
        <v>75</v>
      </c>
      <c r="L80" s="6" t="s">
        <v>76</v>
      </c>
      <c r="M80" s="4" t="s">
        <v>11</v>
      </c>
      <c r="N80" s="4">
        <f t="array" ref="N80:P80">XLOOKUP($A80&amp;$C80, 'Fall SPA'!$A:$A&amp;'Fall SPA'!$C:$C, 'Fall SPA'!$G:$I)</f>
        <v>34</v>
      </c>
      <c r="O80" s="4">
        <v>33.0</v>
      </c>
      <c r="P80" s="4">
        <v>33.0</v>
      </c>
      <c r="Q80" s="4">
        <f t="array" ref="Q80:S80">XLOOKUP($A80&amp;$C80, 'Spring SPA'!$A:$A&amp;'Spring SPA'!$C:$C, 'Spring SPA'!$G:$I)</f>
        <v>28</v>
      </c>
      <c r="R80" s="4">
        <v>29.0</v>
      </c>
      <c r="S80" s="4">
        <v>28.0</v>
      </c>
      <c r="T80" s="4"/>
      <c r="U80" s="4"/>
      <c r="V80" s="4"/>
      <c r="W80" s="4"/>
      <c r="X80" s="4"/>
      <c r="Y80" s="4"/>
      <c r="Z80" s="4"/>
    </row>
    <row r="81" ht="14.25" customHeight="1">
      <c r="A81" s="4" t="s">
        <v>77</v>
      </c>
      <c r="B81" s="6" t="s">
        <v>78</v>
      </c>
      <c r="C81" s="4" t="s">
        <v>9</v>
      </c>
      <c r="D81" s="4">
        <f t="array" ref="D81:F81">XLOOKUP($A81&amp;$C81, 'Fall ENG'!$A:$A&amp;'Fall ENG'!$C:$C, 'Fall ENG'!$H:$J)</f>
        <v>0.5489</v>
      </c>
      <c r="E81" s="4">
        <v>0.4462</v>
      </c>
      <c r="F81" s="4">
        <v>0.5841</v>
      </c>
      <c r="G81" s="4">
        <f t="array" ref="G81:I81">XLOOKUP($A81&amp;$C81, 'Spring ENG'!$A:$A&amp;'Spring ENG'!$C:$C, 'Spring ENG'!$H:$J)</f>
        <v>0.3134</v>
      </c>
      <c r="H81" s="4">
        <v>0.3345</v>
      </c>
      <c r="I81" s="4">
        <v>0.3368</v>
      </c>
      <c r="J81" s="4"/>
      <c r="K81" s="4" t="s">
        <v>77</v>
      </c>
      <c r="L81" s="6" t="s">
        <v>78</v>
      </c>
      <c r="M81" s="4" t="s">
        <v>9</v>
      </c>
      <c r="N81" s="4">
        <f t="array" ref="N81:P81">XLOOKUP($A81&amp;$C81, 'Fall SPA'!$A:$A&amp;'Fall SPA'!$C:$C, 'Fall SPA'!$G:$I)</f>
        <v>0.5973</v>
      </c>
      <c r="O81" s="4">
        <v>0.4224</v>
      </c>
      <c r="P81" s="4">
        <v>0.4683</v>
      </c>
      <c r="Q81" s="4">
        <f t="array" ref="Q81:S81">XLOOKUP($A81&amp;$C81, 'Spring SPA'!$A:$A&amp;'Spring SPA'!$C:$C, 'Spring SPA'!$G:$I)</f>
        <v>0.6061</v>
      </c>
      <c r="R81" s="4">
        <v>0.5224</v>
      </c>
      <c r="S81" s="4">
        <v>0.6649</v>
      </c>
      <c r="T81" s="4"/>
      <c r="U81" s="4"/>
      <c r="V81" s="4"/>
      <c r="W81" s="4"/>
      <c r="X81" s="4"/>
      <c r="Y81" s="4"/>
      <c r="Z81" s="4"/>
    </row>
    <row r="82" ht="14.25" customHeight="1">
      <c r="A82" s="4" t="s">
        <v>77</v>
      </c>
      <c r="B82" s="6" t="s">
        <v>78</v>
      </c>
      <c r="C82" s="4" t="s">
        <v>10</v>
      </c>
      <c r="D82" s="4">
        <f t="array" ref="D82:F82">XLOOKUP($A82&amp;$C82, 'Fall ENG'!$A:$A&amp;'Fall ENG'!$C:$C, 'Fall ENG'!$H:$J)</f>
        <v>0</v>
      </c>
      <c r="E82" s="4">
        <v>0.0</v>
      </c>
      <c r="F82" s="4">
        <v>0.0</v>
      </c>
      <c r="G82" s="4">
        <f t="array" ref="G82:I82">XLOOKUP($A82&amp;$C82, 'Spring ENG'!$A:$A&amp;'Spring ENG'!$C:$C, 'Spring ENG'!$H:$J)</f>
        <v>0.0005</v>
      </c>
      <c r="H82" s="4">
        <v>2.0E-4</v>
      </c>
      <c r="I82" s="4">
        <v>2.0E-4</v>
      </c>
      <c r="J82" s="4"/>
      <c r="K82" s="4" t="s">
        <v>77</v>
      </c>
      <c r="L82" s="6" t="s">
        <v>78</v>
      </c>
      <c r="M82" s="4" t="s">
        <v>10</v>
      </c>
      <c r="N82" s="4">
        <f t="array" ref="N82:P82">XLOOKUP($A82&amp;$C82, 'Fall SPA'!$A:$A&amp;'Fall SPA'!$C:$C, 'Fall SPA'!$G:$I)</f>
        <v>0.0002</v>
      </c>
      <c r="O82" s="4">
        <v>0.0143</v>
      </c>
      <c r="P82" s="4">
        <v>0.006</v>
      </c>
      <c r="Q82" s="4">
        <f t="array" ref="Q82:S82">XLOOKUP($A82&amp;$C82, 'Spring SPA'!$A:$A&amp;'Spring SPA'!$C:$C, 'Spring SPA'!$G:$I)</f>
        <v>0.0008</v>
      </c>
      <c r="R82" s="4">
        <v>0.0043</v>
      </c>
      <c r="S82" s="4">
        <v>2.0E-4</v>
      </c>
      <c r="T82" s="4"/>
      <c r="U82" s="4"/>
      <c r="V82" s="4"/>
      <c r="W82" s="4"/>
      <c r="X82" s="4"/>
      <c r="Y82" s="4"/>
      <c r="Z82" s="4"/>
    </row>
    <row r="83" ht="14.25" customHeight="1">
      <c r="A83" s="4" t="s">
        <v>77</v>
      </c>
      <c r="B83" s="6" t="s">
        <v>78</v>
      </c>
      <c r="C83" s="4" t="s">
        <v>11</v>
      </c>
      <c r="D83" s="4">
        <f t="array" ref="D83:F83">XLOOKUP($A83&amp;$C83, 'Fall ENG'!$A:$A&amp;'Fall ENG'!$C:$C, 'Fall ENG'!$H:$J)</f>
        <v>134</v>
      </c>
      <c r="E83" s="4">
        <v>133.0</v>
      </c>
      <c r="F83" s="4">
        <v>131.0</v>
      </c>
      <c r="G83" s="4">
        <f t="array" ref="G83:I83">XLOOKUP($A83&amp;$C83, 'Spring ENG'!$A:$A&amp;'Spring ENG'!$C:$C, 'Spring ENG'!$H:$J)</f>
        <v>121</v>
      </c>
      <c r="H83" s="4">
        <v>121.0</v>
      </c>
      <c r="I83" s="4">
        <v>121.0</v>
      </c>
      <c r="J83" s="4"/>
      <c r="K83" s="4" t="s">
        <v>77</v>
      </c>
      <c r="L83" s="6" t="s">
        <v>78</v>
      </c>
      <c r="M83" s="4" t="s">
        <v>11</v>
      </c>
      <c r="N83" s="4">
        <f t="array" ref="N83:P83">XLOOKUP($A83&amp;$C83, 'Fall SPA'!$A:$A&amp;'Fall SPA'!$C:$C, 'Fall SPA'!$G:$I)</f>
        <v>34</v>
      </c>
      <c r="O83" s="4">
        <v>33.0</v>
      </c>
      <c r="P83" s="4">
        <v>33.0</v>
      </c>
      <c r="Q83" s="4">
        <f t="array" ref="Q83:S83">XLOOKUP($A83&amp;$C83, 'Spring SPA'!$A:$A&amp;'Spring SPA'!$C:$C, 'Spring SPA'!$G:$I)</f>
        <v>27</v>
      </c>
      <c r="R83" s="4">
        <v>28.0</v>
      </c>
      <c r="S83" s="4">
        <v>27.0</v>
      </c>
      <c r="T83" s="4"/>
      <c r="U83" s="4"/>
      <c r="V83" s="4"/>
      <c r="W83" s="4"/>
      <c r="X83" s="4"/>
      <c r="Y83" s="4"/>
      <c r="Z83" s="4"/>
    </row>
    <row r="84" ht="14.25" customHeight="1">
      <c r="A84" s="4" t="s">
        <v>79</v>
      </c>
      <c r="B84" s="6" t="s">
        <v>80</v>
      </c>
      <c r="C84" s="4" t="s">
        <v>9</v>
      </c>
      <c r="D84" s="4">
        <f t="array" ref="D84:F84">XLOOKUP($A84&amp;$C84, 'Fall ENG'!$A:$A&amp;'Fall ENG'!$C:$C, 'Fall ENG'!$H:$J)</f>
        <v>0.5176</v>
      </c>
      <c r="E84" s="4">
        <v>0.4197</v>
      </c>
      <c r="F84" s="4">
        <v>0.5168</v>
      </c>
      <c r="G84" s="4">
        <f t="array" ref="G84:I84">XLOOKUP($A84&amp;$C84, 'Spring ENG'!$A:$A&amp;'Spring ENG'!$C:$C, 'Spring ENG'!$H:$J)</f>
        <v>0.4855</v>
      </c>
      <c r="H84" s="4">
        <v>0.4409</v>
      </c>
      <c r="I84" s="4">
        <v>0.5015</v>
      </c>
      <c r="J84" s="4"/>
      <c r="K84" s="4" t="s">
        <v>79</v>
      </c>
      <c r="L84" s="6" t="s">
        <v>80</v>
      </c>
      <c r="M84" s="4" t="s">
        <v>9</v>
      </c>
      <c r="N84" s="4">
        <f t="array" ref="N84:P84">XLOOKUP($A84&amp;$C84, 'Fall SPA'!$A:$A&amp;'Fall SPA'!$C:$C, 'Fall SPA'!$G:$I)</f>
        <v>0.6222</v>
      </c>
      <c r="O84" s="4">
        <v>0.3555</v>
      </c>
      <c r="P84" s="4">
        <v>0.4889</v>
      </c>
      <c r="Q84" s="4">
        <f t="array" ref="Q84:S84">XLOOKUP($A84&amp;$C84, 'Spring SPA'!$A:$A&amp;'Spring SPA'!$C:$C, 'Spring SPA'!$G:$I)</f>
        <v>0.6723</v>
      </c>
      <c r="R84" s="4">
        <v>0.4344</v>
      </c>
      <c r="S84" s="4">
        <v>0.6448</v>
      </c>
      <c r="T84" s="4"/>
      <c r="U84" s="4"/>
      <c r="V84" s="4"/>
      <c r="W84" s="4"/>
      <c r="X84" s="4"/>
      <c r="Y84" s="4"/>
      <c r="Z84" s="4"/>
    </row>
    <row r="85" ht="14.25" customHeight="1">
      <c r="A85" s="4" t="s">
        <v>79</v>
      </c>
      <c r="B85" s="6" t="s">
        <v>80</v>
      </c>
      <c r="C85" s="4" t="s">
        <v>10</v>
      </c>
      <c r="D85" s="4">
        <f t="array" ref="D85:F85">XLOOKUP($A85&amp;$C85, 'Fall ENG'!$A:$A&amp;'Fall ENG'!$C:$C, 'Fall ENG'!$H:$J)</f>
        <v>0</v>
      </c>
      <c r="E85" s="4">
        <v>0.0</v>
      </c>
      <c r="F85" s="4">
        <v>0.0</v>
      </c>
      <c r="G85" s="4">
        <f t="array" ref="G85:I85">XLOOKUP($A85&amp;$C85, 'Spring ENG'!$A:$A&amp;'Spring ENG'!$C:$C, 'Spring ENG'!$H:$J)</f>
        <v>0</v>
      </c>
      <c r="H85" s="4">
        <v>0.0</v>
      </c>
      <c r="I85" s="4">
        <v>0.0</v>
      </c>
      <c r="J85" s="4"/>
      <c r="K85" s="4" t="s">
        <v>79</v>
      </c>
      <c r="L85" s="6" t="s">
        <v>80</v>
      </c>
      <c r="M85" s="4" t="s">
        <v>10</v>
      </c>
      <c r="N85" s="4">
        <f t="array" ref="N85:P85">XLOOKUP($A85&amp;$C85, 'Fall SPA'!$A:$A&amp;'Fall SPA'!$C:$C, 'Fall SPA'!$G:$I)</f>
        <v>0</v>
      </c>
      <c r="O85" s="4">
        <v>0.0308</v>
      </c>
      <c r="P85" s="4">
        <v>0.0021</v>
      </c>
      <c r="Q85" s="4">
        <f t="array" ref="Q85:S85">XLOOKUP($A85&amp;$C85, 'Spring SPA'!$A:$A&amp;'Spring SPA'!$C:$C, 'Spring SPA'!$G:$I)</f>
        <v>0.0001</v>
      </c>
      <c r="R85" s="4">
        <v>0.0185</v>
      </c>
      <c r="S85" s="4">
        <v>2.0E-4</v>
      </c>
      <c r="T85" s="4"/>
      <c r="U85" s="4"/>
      <c r="V85" s="4"/>
      <c r="W85" s="4"/>
      <c r="X85" s="4"/>
      <c r="Y85" s="4"/>
      <c r="Z85" s="4"/>
    </row>
    <row r="86" ht="14.25" customHeight="1">
      <c r="A86" s="4" t="s">
        <v>79</v>
      </c>
      <c r="B86" s="6" t="s">
        <v>80</v>
      </c>
      <c r="C86" s="4" t="s">
        <v>11</v>
      </c>
      <c r="D86" s="4">
        <f t="array" ref="D86:F86">XLOOKUP($A86&amp;$C86, 'Fall ENG'!$A:$A&amp;'Fall ENG'!$C:$C, 'Fall ENG'!$H:$J)</f>
        <v>144</v>
      </c>
      <c r="E86" s="4">
        <v>143.0</v>
      </c>
      <c r="F86" s="4">
        <v>141.0</v>
      </c>
      <c r="G86" s="4">
        <f t="array" ref="G86:I86">XLOOKUP($A86&amp;$C86, 'Spring ENG'!$A:$A&amp;'Spring ENG'!$C:$C, 'Spring ENG'!$H:$J)</f>
        <v>123</v>
      </c>
      <c r="H86" s="4">
        <v>123.0</v>
      </c>
      <c r="I86" s="4">
        <v>123.0</v>
      </c>
      <c r="J86" s="4"/>
      <c r="K86" s="4" t="s">
        <v>79</v>
      </c>
      <c r="L86" s="6" t="s">
        <v>80</v>
      </c>
      <c r="M86" s="4" t="s">
        <v>11</v>
      </c>
      <c r="N86" s="4">
        <f t="array" ref="N86:P86">XLOOKUP($A86&amp;$C86, 'Fall SPA'!$A:$A&amp;'Fall SPA'!$C:$C, 'Fall SPA'!$G:$I)</f>
        <v>38</v>
      </c>
      <c r="O86" s="4">
        <v>37.0</v>
      </c>
      <c r="P86" s="4">
        <v>37.0</v>
      </c>
      <c r="Q86" s="4">
        <f t="array" ref="Q86:S86">XLOOKUP($A86&amp;$C86, 'Spring SPA'!$A:$A&amp;'Spring SPA'!$C:$C, 'Spring SPA'!$G:$I)</f>
        <v>28</v>
      </c>
      <c r="R86" s="4">
        <v>29.0</v>
      </c>
      <c r="S86" s="4">
        <v>28.0</v>
      </c>
      <c r="T86" s="4"/>
      <c r="U86" s="4"/>
      <c r="V86" s="4"/>
      <c r="W86" s="4"/>
      <c r="X86" s="4"/>
      <c r="Y86" s="4"/>
      <c r="Z86" s="4"/>
    </row>
    <row r="87" ht="14.25" customHeight="1">
      <c r="A87" s="4" t="s">
        <v>81</v>
      </c>
      <c r="B87" s="6" t="s">
        <v>82</v>
      </c>
      <c r="C87" s="4" t="s">
        <v>9</v>
      </c>
      <c r="D87" s="4">
        <f t="array" ref="D87:F87">XLOOKUP($A87&amp;$C87, 'Fall ENG'!$A:$A&amp;'Fall ENG'!$C:$C, 'Fall ENG'!$H:$J)</f>
        <v>0.5433</v>
      </c>
      <c r="E87" s="4">
        <v>0.3383</v>
      </c>
      <c r="F87" s="4">
        <v>0.499</v>
      </c>
      <c r="G87" s="4">
        <f t="array" ref="G87:I87">XLOOKUP($A87&amp;$C87, 'Spring ENG'!$A:$A&amp;'Spring ENG'!$C:$C, 'Spring ENG'!$H:$J)</f>
        <v>0.4005</v>
      </c>
      <c r="H87" s="4">
        <v>0.4344</v>
      </c>
      <c r="I87" s="4">
        <v>0.4561</v>
      </c>
      <c r="J87" s="4"/>
      <c r="K87" s="4" t="s">
        <v>81</v>
      </c>
      <c r="L87" s="6" t="s">
        <v>82</v>
      </c>
      <c r="M87" s="4" t="s">
        <v>9</v>
      </c>
      <c r="N87" s="4">
        <f t="array" ref="N87:P87">XLOOKUP($A87&amp;$C87, 'Fall SPA'!$A:$A&amp;'Fall SPA'!$C:$C, 'Fall SPA'!$G:$I)</f>
        <v>0.6301</v>
      </c>
      <c r="O87" s="4">
        <v>0.4218</v>
      </c>
      <c r="P87" s="4">
        <v>0.526</v>
      </c>
      <c r="Q87" s="4">
        <f t="array" ref="Q87:S87">XLOOKUP($A87&amp;$C87, 'Spring SPA'!$A:$A&amp;'Spring SPA'!$C:$C, 'Spring SPA'!$G:$I)</f>
        <v>0.6565</v>
      </c>
      <c r="R87" s="4">
        <v>0.4351</v>
      </c>
      <c r="S87" s="4">
        <v>0.576</v>
      </c>
      <c r="T87" s="4"/>
      <c r="U87" s="4"/>
      <c r="V87" s="4"/>
      <c r="W87" s="4"/>
      <c r="X87" s="4"/>
      <c r="Y87" s="4"/>
      <c r="Z87" s="4"/>
    </row>
    <row r="88" ht="14.25" customHeight="1">
      <c r="A88" s="4" t="s">
        <v>81</v>
      </c>
      <c r="B88" s="6" t="s">
        <v>82</v>
      </c>
      <c r="C88" s="4" t="s">
        <v>10</v>
      </c>
      <c r="D88" s="4">
        <f t="array" ref="D88:F88">XLOOKUP($A88&amp;$C88, 'Fall ENG'!$A:$A&amp;'Fall ENG'!$C:$C, 'Fall ENG'!$H:$J)</f>
        <v>0</v>
      </c>
      <c r="E88" s="4">
        <v>0.0</v>
      </c>
      <c r="F88" s="4">
        <v>0.0</v>
      </c>
      <c r="G88" s="4">
        <f t="array" ref="G88:I88">XLOOKUP($A88&amp;$C88, 'Spring ENG'!$A:$A&amp;'Spring ENG'!$C:$C, 'Spring ENG'!$H:$J)</f>
        <v>0</v>
      </c>
      <c r="H88" s="4">
        <v>0.0</v>
      </c>
      <c r="I88" s="4">
        <v>0.0</v>
      </c>
      <c r="J88" s="4"/>
      <c r="K88" s="4" t="s">
        <v>81</v>
      </c>
      <c r="L88" s="6" t="s">
        <v>82</v>
      </c>
      <c r="M88" s="4" t="s">
        <v>10</v>
      </c>
      <c r="N88" s="4">
        <f t="array" ref="N88:P88">XLOOKUP($A88&amp;$C88, 'Fall SPA'!$A:$A&amp;'Fall SPA'!$C:$C, 'Fall SPA'!$G:$I)</f>
        <v>0</v>
      </c>
      <c r="O88" s="4">
        <v>0.0084</v>
      </c>
      <c r="P88" s="4">
        <v>7.0E-4</v>
      </c>
      <c r="Q88" s="4">
        <f t="array" ref="Q88:S88">XLOOKUP($A88&amp;$C88, 'Spring SPA'!$A:$A&amp;'Spring SPA'!$C:$C, 'Spring SPA'!$G:$I)</f>
        <v>0.0001</v>
      </c>
      <c r="R88" s="4">
        <v>0.0144</v>
      </c>
      <c r="S88" s="4">
        <v>9.0E-4</v>
      </c>
      <c r="T88" s="4"/>
      <c r="U88" s="4"/>
      <c r="V88" s="4"/>
      <c r="W88" s="4"/>
      <c r="X88" s="4"/>
      <c r="Y88" s="4"/>
      <c r="Z88" s="4"/>
    </row>
    <row r="89" ht="14.25" customHeight="1">
      <c r="A89" s="4" t="s">
        <v>81</v>
      </c>
      <c r="B89" s="6" t="s">
        <v>82</v>
      </c>
      <c r="C89" s="4" t="s">
        <v>11</v>
      </c>
      <c r="D89" s="4">
        <f t="array" ref="D89:F89">XLOOKUP($A89&amp;$C89, 'Fall ENG'!$A:$A&amp;'Fall ENG'!$C:$C, 'Fall ENG'!$H:$J)</f>
        <v>143</v>
      </c>
      <c r="E89" s="4">
        <v>141.0</v>
      </c>
      <c r="F89" s="4">
        <v>140.0</v>
      </c>
      <c r="G89" s="4">
        <f t="array" ref="G89:I89">XLOOKUP($A89&amp;$C89, 'Spring ENG'!$A:$A&amp;'Spring ENG'!$C:$C, 'Spring ENG'!$H:$J)</f>
        <v>123</v>
      </c>
      <c r="H89" s="4">
        <v>123.0</v>
      </c>
      <c r="I89" s="4">
        <v>123.0</v>
      </c>
      <c r="J89" s="4"/>
      <c r="K89" s="4" t="s">
        <v>81</v>
      </c>
      <c r="L89" s="6" t="s">
        <v>82</v>
      </c>
      <c r="M89" s="4" t="s">
        <v>11</v>
      </c>
      <c r="N89" s="4">
        <f t="array" ref="N89:P89">XLOOKUP($A89&amp;$C89, 'Fall SPA'!$A:$A&amp;'Fall SPA'!$C:$C, 'Fall SPA'!$G:$I)</f>
        <v>39</v>
      </c>
      <c r="O89" s="4">
        <v>38.0</v>
      </c>
      <c r="P89" s="4">
        <v>38.0</v>
      </c>
      <c r="Q89" s="4">
        <f t="array" ref="Q89:S89">XLOOKUP($A89&amp;$C89, 'Spring SPA'!$A:$A&amp;'Spring SPA'!$C:$C, 'Spring SPA'!$G:$I)</f>
        <v>30</v>
      </c>
      <c r="R89" s="4">
        <v>31.0</v>
      </c>
      <c r="S89" s="4">
        <v>30.0</v>
      </c>
      <c r="T89" s="4"/>
      <c r="U89" s="4"/>
      <c r="V89" s="4"/>
      <c r="W89" s="4"/>
      <c r="X89" s="4"/>
      <c r="Y89" s="4"/>
      <c r="Z89" s="4"/>
    </row>
    <row r="90" ht="14.25" customHeight="1">
      <c r="A90" s="4" t="s">
        <v>83</v>
      </c>
      <c r="B90" s="6" t="s">
        <v>84</v>
      </c>
      <c r="C90" s="4" t="s">
        <v>9</v>
      </c>
      <c r="D90" s="4">
        <f t="array" ref="D90:F90">XLOOKUP($A90&amp;$C90, 'Fall ENG'!$A:$A&amp;'Fall ENG'!$C:$C, 'Fall ENG'!$H:$J)</f>
        <v>0.3422</v>
      </c>
      <c r="E90" s="4">
        <v>0.0746</v>
      </c>
      <c r="F90" s="4">
        <v>0.1662</v>
      </c>
      <c r="G90" s="4">
        <f t="array" ref="G90:I90">XLOOKUP($A90&amp;$C90, 'Spring ENG'!$A:$A&amp;'Spring ENG'!$C:$C, 'Spring ENG'!$H:$J)</f>
        <v>0.446</v>
      </c>
      <c r="H90" s="4">
        <v>0.2637</v>
      </c>
      <c r="I90" s="4">
        <v>0.3336</v>
      </c>
      <c r="J90" s="4"/>
      <c r="K90" s="4" t="s">
        <v>83</v>
      </c>
      <c r="L90" s="6" t="s">
        <v>84</v>
      </c>
      <c r="M90" s="4" t="s">
        <v>9</v>
      </c>
      <c r="N90" s="4">
        <f t="array" ref="N90:P90">XLOOKUP($A90&amp;$C90, 'Fall SPA'!$A:$A&amp;'Fall SPA'!$C:$C, 'Fall SPA'!$G:$I)</f>
        <v>0.5336</v>
      </c>
      <c r="O90" s="4">
        <v>0.35</v>
      </c>
      <c r="P90" s="4">
        <v>0.446</v>
      </c>
      <c r="Q90" s="4">
        <f t="array" ref="Q90:S90">XLOOKUP($A90&amp;$C90, 'Spring SPA'!$A:$A&amp;'Spring SPA'!$C:$C, 'Spring SPA'!$G:$I)</f>
        <v>0.5127</v>
      </c>
      <c r="R90" s="4">
        <v>0.3083</v>
      </c>
      <c r="S90" s="4">
        <v>0.4174</v>
      </c>
      <c r="T90" s="4"/>
      <c r="U90" s="4"/>
      <c r="V90" s="4"/>
      <c r="W90" s="4"/>
      <c r="X90" s="4"/>
      <c r="Y90" s="4"/>
      <c r="Z90" s="4"/>
    </row>
    <row r="91" ht="14.25" customHeight="1">
      <c r="A91" s="4" t="s">
        <v>83</v>
      </c>
      <c r="B91" s="6" t="s">
        <v>84</v>
      </c>
      <c r="C91" s="4" t="s">
        <v>10</v>
      </c>
      <c r="D91" s="4">
        <f t="array" ref="D91:F91">XLOOKUP($A91&amp;$C91, 'Fall ENG'!$A:$A&amp;'Fall ENG'!$C:$C, 'Fall ENG'!$H:$J)</f>
        <v>0.0001</v>
      </c>
      <c r="E91" s="4">
        <v>0.4027</v>
      </c>
      <c r="F91" s="4">
        <v>0.0619</v>
      </c>
      <c r="G91" s="4">
        <f t="array" ref="G91:I91">XLOOKUP($A91&amp;$C91, 'Spring ENG'!$A:$A&amp;'Spring ENG'!$C:$C, 'Spring ENG'!$H:$J)</f>
        <v>0</v>
      </c>
      <c r="H91" s="4">
        <v>0.003</v>
      </c>
      <c r="I91" s="4">
        <v>2.0E-4</v>
      </c>
      <c r="J91" s="4"/>
      <c r="K91" s="4" t="s">
        <v>83</v>
      </c>
      <c r="L91" s="6" t="s">
        <v>84</v>
      </c>
      <c r="M91" s="4" t="s">
        <v>10</v>
      </c>
      <c r="N91" s="4">
        <f t="array" ref="N91:P91">XLOOKUP($A91&amp;$C91, 'Fall SPA'!$A:$A&amp;'Fall SPA'!$C:$C, 'Fall SPA'!$G:$I)</f>
        <v>0.001</v>
      </c>
      <c r="O91" s="4">
        <v>0.0424</v>
      </c>
      <c r="P91" s="4">
        <v>0.0082</v>
      </c>
      <c r="Q91" s="4">
        <f t="array" ref="Q91:S91">XLOOKUP($A91&amp;$C91, 'Spring SPA'!$A:$A&amp;'Spring SPA'!$C:$C, 'Spring SPA'!$G:$I)</f>
        <v>0.0016</v>
      </c>
      <c r="R91" s="4">
        <v>0.0674</v>
      </c>
      <c r="S91" s="4">
        <v>0.0126</v>
      </c>
      <c r="T91" s="4"/>
      <c r="U91" s="4"/>
      <c r="V91" s="4"/>
      <c r="W91" s="4"/>
      <c r="X91" s="4"/>
      <c r="Y91" s="4"/>
      <c r="Z91" s="4"/>
    </row>
    <row r="92" ht="14.25" customHeight="1">
      <c r="A92" s="7" t="s">
        <v>83</v>
      </c>
      <c r="B92" s="8" t="s">
        <v>84</v>
      </c>
      <c r="C92" s="7" t="s">
        <v>11</v>
      </c>
      <c r="D92" s="7">
        <f t="array" ref="D92:F92">XLOOKUP($A92&amp;$C92, 'Fall ENG'!$A:$A&amp;'Fall ENG'!$C:$C, 'Fall ENG'!$H:$J)</f>
        <v>128</v>
      </c>
      <c r="E92" s="7">
        <v>128.0</v>
      </c>
      <c r="F92" s="7">
        <v>127.0</v>
      </c>
      <c r="G92" s="7">
        <f t="array" ref="G92:I92">XLOOKUP($A92&amp;$C92, 'Spring ENG'!$A:$A&amp;'Spring ENG'!$C:$C, 'Spring ENG'!$H:$J)</f>
        <v>124</v>
      </c>
      <c r="H92" s="7">
        <v>125.0</v>
      </c>
      <c r="I92" s="7">
        <v>124.0</v>
      </c>
      <c r="J92" s="4"/>
      <c r="K92" s="7" t="s">
        <v>83</v>
      </c>
      <c r="L92" s="8" t="s">
        <v>84</v>
      </c>
      <c r="M92" s="7" t="s">
        <v>11</v>
      </c>
      <c r="N92" s="7">
        <f t="array" ref="N92:P92">XLOOKUP($A92&amp;$C92, 'Fall SPA'!$A:$A&amp;'Fall SPA'!$C:$C, 'Fall SPA'!$G:$I)</f>
        <v>35</v>
      </c>
      <c r="O92" s="7">
        <v>34.0</v>
      </c>
      <c r="P92" s="7">
        <v>34.0</v>
      </c>
      <c r="Q92" s="7">
        <f t="array" ref="Q92:S92">XLOOKUP($A92&amp;$C92, 'Spring SPA'!$A:$A&amp;'Spring SPA'!$C:$C, 'Spring SPA'!$G:$I)</f>
        <v>35</v>
      </c>
      <c r="R92" s="7">
        <v>36.0</v>
      </c>
      <c r="S92" s="7">
        <v>35.0</v>
      </c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:E1"/>
    <mergeCell ref="K1:O1"/>
    <mergeCell ref="A16:G16"/>
    <mergeCell ref="K16:Q16"/>
    <mergeCell ref="A28:E28"/>
    <mergeCell ref="A61:I61"/>
    <mergeCell ref="K61:S6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1.57"/>
    <col customWidth="1" min="3" max="3" width="5.29"/>
    <col customWidth="1" min="4" max="4" width="10.43"/>
    <col customWidth="1" min="5" max="5" width="26.57"/>
    <col customWidth="1" min="6" max="6" width="38.29"/>
    <col customWidth="1" min="7" max="7" width="17.57"/>
    <col customWidth="1" min="8" max="8" width="10.57"/>
    <col customWidth="1" min="9" max="9" width="10.71"/>
    <col customWidth="1" min="10" max="10" width="11.43"/>
    <col customWidth="1" min="11" max="11" width="38.86"/>
    <col customWidth="1" min="12" max="12" width="20.86"/>
    <col customWidth="1" min="13" max="26" width="11.43"/>
  </cols>
  <sheetData>
    <row r="1" ht="14.25" customHeight="1">
      <c r="A1" s="10" t="s">
        <v>85</v>
      </c>
      <c r="B1" s="10" t="s">
        <v>3</v>
      </c>
      <c r="C1" s="10" t="s">
        <v>4</v>
      </c>
      <c r="D1" s="10" t="s">
        <v>86</v>
      </c>
      <c r="E1" s="10" t="s">
        <v>87</v>
      </c>
      <c r="F1" s="10" t="s">
        <v>88</v>
      </c>
      <c r="G1" s="10" t="s">
        <v>89</v>
      </c>
      <c r="H1" s="10" t="s">
        <v>90</v>
      </c>
      <c r="I1" s="10" t="s">
        <v>91</v>
      </c>
      <c r="J1" s="10" t="s">
        <v>92</v>
      </c>
      <c r="K1" s="11" t="s">
        <v>93</v>
      </c>
      <c r="L1" s="11" t="s">
        <v>94</v>
      </c>
      <c r="M1" s="11" t="s">
        <v>95</v>
      </c>
    </row>
    <row r="2" ht="14.25" customHeight="1">
      <c r="A2" s="11" t="s">
        <v>7</v>
      </c>
      <c r="B2" s="12" t="s">
        <v>8</v>
      </c>
      <c r="C2" s="11" t="s">
        <v>9</v>
      </c>
      <c r="D2" s="13">
        <v>0.2998</v>
      </c>
      <c r="E2" s="14">
        <v>0.151</v>
      </c>
      <c r="F2" s="15">
        <v>0.2917</v>
      </c>
      <c r="G2" s="14">
        <v>0.1727</v>
      </c>
      <c r="H2" s="15">
        <v>0.3427</v>
      </c>
      <c r="I2" s="15">
        <v>0.4487</v>
      </c>
      <c r="J2" s="15">
        <v>0.4885</v>
      </c>
      <c r="K2" s="11" t="str">
        <f t="array" ref="K2">IF(C2="Corr", INDEX($D$1:$J$1, XMATCH(MAX(D2:J2), D2:J2)), "")</f>
        <v>rema_tot_irt</v>
      </c>
      <c r="L2" s="4" t="str">
        <f t="shared" ref="L2:L82" si="1">IF(AND(LEFT(A2,3)="ATL",C2="Corr"),"htks",
IF(AND(LEFT(A2,3)="LAN",C2="Corr"),"igdis",
IF(AND(LEFT(A2,3)="LIT",C2="Corr"),"topel",
IF(AND(LEFT(A2,3)="MAT",C2="Corr"),"rema",""))))</f>
        <v>htks</v>
      </c>
      <c r="M2" s="11" t="str">
        <f t="shared" ref="M2:M82" si="2">IF(AND(LEFT(K2, 4) = LEFT(L2, 4), C2 = "Corr"), 1, "")</f>
        <v/>
      </c>
    </row>
    <row r="3" ht="14.25" customHeight="1">
      <c r="A3" s="11" t="s">
        <v>7</v>
      </c>
      <c r="B3" s="12" t="s">
        <v>8</v>
      </c>
      <c r="C3" s="11" t="s">
        <v>10</v>
      </c>
      <c r="D3" s="16">
        <v>0.0035</v>
      </c>
      <c r="E3" s="17">
        <v>0.1531</v>
      </c>
      <c r="F3" s="17">
        <v>0.0053</v>
      </c>
      <c r="G3" s="17">
        <v>0.0979</v>
      </c>
      <c r="H3" s="17">
        <v>8.0E-4</v>
      </c>
      <c r="I3" s="17">
        <v>0.0</v>
      </c>
      <c r="J3" s="17">
        <v>0.0</v>
      </c>
      <c r="K3" s="11" t="str">
        <f t="array" ref="K3">IF(C3="Corr", INDEX($D$1:$J$1, XMATCH(MAX(D3:J3), D3:J3)), "")</f>
        <v/>
      </c>
      <c r="L3" s="4" t="str">
        <f t="shared" si="1"/>
        <v/>
      </c>
      <c r="M3" s="11" t="str">
        <f t="shared" si="2"/>
        <v/>
      </c>
    </row>
    <row r="4" ht="14.25" customHeight="1">
      <c r="A4" s="11" t="s">
        <v>7</v>
      </c>
      <c r="B4" s="12" t="s">
        <v>8</v>
      </c>
      <c r="C4" s="11" t="s">
        <v>11</v>
      </c>
      <c r="D4" s="16">
        <v>93.0</v>
      </c>
      <c r="E4" s="17">
        <v>91.0</v>
      </c>
      <c r="F4" s="17">
        <v>90.0</v>
      </c>
      <c r="G4" s="17">
        <v>93.0</v>
      </c>
      <c r="H4" s="17">
        <v>92.0</v>
      </c>
      <c r="I4" s="17">
        <v>93.0</v>
      </c>
      <c r="J4" s="17">
        <v>92.0</v>
      </c>
      <c r="K4" s="11" t="str">
        <f t="array" ref="K4">IF(C4="Corr", INDEX($D$1:$J$1, XMATCH(MAX(D4:J4), D4:J4)), "")</f>
        <v/>
      </c>
      <c r="L4" s="4" t="str">
        <f t="shared" si="1"/>
        <v/>
      </c>
      <c r="M4" s="11" t="str">
        <f t="shared" si="2"/>
        <v/>
      </c>
    </row>
    <row r="5" ht="14.25" customHeight="1">
      <c r="A5" s="11" t="s">
        <v>12</v>
      </c>
      <c r="B5" s="12" t="s">
        <v>13</v>
      </c>
      <c r="C5" s="11" t="s">
        <v>9</v>
      </c>
      <c r="D5" s="18">
        <v>0.1355</v>
      </c>
      <c r="E5" s="15">
        <v>0.2629</v>
      </c>
      <c r="F5" s="15">
        <v>0.3169</v>
      </c>
      <c r="G5" s="14">
        <v>0.1199</v>
      </c>
      <c r="H5" s="15">
        <v>0.3399</v>
      </c>
      <c r="I5" s="15">
        <v>0.3221</v>
      </c>
      <c r="J5" s="15">
        <v>0.3746</v>
      </c>
      <c r="K5" s="11" t="str">
        <f t="array" ref="K5">IF(C5="Corr", INDEX($D$1:$J$1, XMATCH(MAX(D5:J5), D5:J5)), "")</f>
        <v>rema_tot_irt</v>
      </c>
      <c r="L5" s="4" t="str">
        <f t="shared" si="1"/>
        <v>htks</v>
      </c>
      <c r="M5" s="11" t="str">
        <f t="shared" si="2"/>
        <v/>
      </c>
    </row>
    <row r="6" ht="14.25" customHeight="1">
      <c r="A6" s="11" t="s">
        <v>12</v>
      </c>
      <c r="B6" s="12" t="s">
        <v>13</v>
      </c>
      <c r="C6" s="11" t="s">
        <v>10</v>
      </c>
      <c r="D6" s="16">
        <v>0.132</v>
      </c>
      <c r="E6" s="17">
        <v>0.0039</v>
      </c>
      <c r="F6" s="17">
        <v>5.0E-4</v>
      </c>
      <c r="G6" s="17">
        <v>0.1813</v>
      </c>
      <c r="H6" s="17">
        <v>1.0E-4</v>
      </c>
      <c r="I6" s="17">
        <v>2.0E-4</v>
      </c>
      <c r="J6" s="17">
        <v>0.0</v>
      </c>
      <c r="K6" s="11" t="str">
        <f t="array" ref="K6">IF(C6="Corr", INDEX($D$1:$J$1, XMATCH(MAX(D6:J6), D6:J6)), "")</f>
        <v/>
      </c>
      <c r="L6" s="4" t="str">
        <f t="shared" si="1"/>
        <v/>
      </c>
      <c r="M6" s="11" t="str">
        <f t="shared" si="2"/>
        <v/>
      </c>
    </row>
    <row r="7" ht="14.25" customHeight="1">
      <c r="A7" s="11" t="s">
        <v>12</v>
      </c>
      <c r="B7" s="12" t="s">
        <v>13</v>
      </c>
      <c r="C7" s="11" t="s">
        <v>11</v>
      </c>
      <c r="D7" s="16">
        <v>125.0</v>
      </c>
      <c r="E7" s="17">
        <v>119.0</v>
      </c>
      <c r="F7" s="17">
        <v>118.0</v>
      </c>
      <c r="G7" s="17">
        <v>126.0</v>
      </c>
      <c r="H7" s="17">
        <v>125.0</v>
      </c>
      <c r="I7" s="17">
        <v>126.0</v>
      </c>
      <c r="J7" s="17">
        <v>125.0</v>
      </c>
      <c r="K7" s="11" t="str">
        <f t="array" ref="K7">IF(C7="Corr", INDEX($D$1:$J$1, XMATCH(MAX(D7:J7), D7:J7)), "")</f>
        <v/>
      </c>
      <c r="L7" s="4" t="str">
        <f t="shared" si="1"/>
        <v/>
      </c>
      <c r="M7" s="11" t="str">
        <f t="shared" si="2"/>
        <v/>
      </c>
    </row>
    <row r="8" ht="14.25" customHeight="1">
      <c r="A8" s="11" t="s">
        <v>14</v>
      </c>
      <c r="B8" s="12" t="s">
        <v>15</v>
      </c>
      <c r="C8" s="11" t="s">
        <v>9</v>
      </c>
      <c r="D8" s="18">
        <v>0.229</v>
      </c>
      <c r="E8" s="14">
        <v>0.2457</v>
      </c>
      <c r="F8" s="15">
        <v>0.4253</v>
      </c>
      <c r="G8" s="15">
        <v>0.3095</v>
      </c>
      <c r="H8" s="15">
        <v>0.4161</v>
      </c>
      <c r="I8" s="15">
        <v>0.3453</v>
      </c>
      <c r="J8" s="15">
        <v>0.4286</v>
      </c>
      <c r="K8" s="11" t="str">
        <f t="array" ref="K8">IF(C8="Corr", INDEX($D$1:$J$1, XMATCH(MAX(D8:J8), D8:J8)), "")</f>
        <v>rema_tot_irt</v>
      </c>
      <c r="L8" s="4" t="str">
        <f t="shared" si="1"/>
        <v>htks</v>
      </c>
      <c r="M8" s="11" t="str">
        <f t="shared" si="2"/>
        <v/>
      </c>
    </row>
    <row r="9" ht="14.25" customHeight="1">
      <c r="A9" s="11" t="s">
        <v>14</v>
      </c>
      <c r="B9" s="12" t="s">
        <v>15</v>
      </c>
      <c r="C9" s="11" t="s">
        <v>10</v>
      </c>
      <c r="D9" s="16">
        <v>0.0329</v>
      </c>
      <c r="E9" s="17">
        <v>0.0243</v>
      </c>
      <c r="F9" s="17">
        <v>1.0E-4</v>
      </c>
      <c r="G9" s="17">
        <v>0.0035</v>
      </c>
      <c r="H9" s="17">
        <v>1.0E-4</v>
      </c>
      <c r="I9" s="17">
        <v>0.0011</v>
      </c>
      <c r="J9" s="17">
        <v>0.0</v>
      </c>
      <c r="K9" s="11" t="str">
        <f t="array" ref="K9">IF(C9="Corr", INDEX($D$1:$J$1, XMATCH(MAX(D9:J9), D9:J9)), "")</f>
        <v/>
      </c>
      <c r="L9" s="4" t="str">
        <f t="shared" si="1"/>
        <v/>
      </c>
      <c r="M9" s="11" t="str">
        <f t="shared" si="2"/>
        <v/>
      </c>
    </row>
    <row r="10" ht="14.25" customHeight="1">
      <c r="A10" s="11" t="s">
        <v>14</v>
      </c>
      <c r="B10" s="12" t="s">
        <v>15</v>
      </c>
      <c r="C10" s="11" t="s">
        <v>11</v>
      </c>
      <c r="D10" s="16">
        <v>87.0</v>
      </c>
      <c r="E10" s="17">
        <v>84.0</v>
      </c>
      <c r="F10" s="17">
        <v>84.0</v>
      </c>
      <c r="G10" s="17">
        <v>87.0</v>
      </c>
      <c r="H10" s="17">
        <v>86.0</v>
      </c>
      <c r="I10" s="17">
        <v>87.0</v>
      </c>
      <c r="J10" s="17">
        <v>86.0</v>
      </c>
      <c r="K10" s="11" t="str">
        <f t="array" ref="K10">IF(C10="Corr", INDEX($D$1:$J$1, XMATCH(MAX(D10:J10), D10:J10)), "")</f>
        <v/>
      </c>
      <c r="L10" s="4" t="str">
        <f t="shared" si="1"/>
        <v/>
      </c>
      <c r="M10" s="11" t="str">
        <f t="shared" si="2"/>
        <v/>
      </c>
    </row>
    <row r="11" ht="14.25" customHeight="1">
      <c r="A11" s="11" t="s">
        <v>16</v>
      </c>
      <c r="B11" s="12" t="s">
        <v>17</v>
      </c>
      <c r="C11" s="11" t="s">
        <v>9</v>
      </c>
      <c r="D11" s="13">
        <v>0.2911</v>
      </c>
      <c r="E11" s="14">
        <v>0.2234</v>
      </c>
      <c r="F11" s="15">
        <v>0.3089</v>
      </c>
      <c r="G11" s="15">
        <v>0.3133</v>
      </c>
      <c r="H11" s="15">
        <v>0.2687</v>
      </c>
      <c r="I11" s="15">
        <v>0.3355</v>
      </c>
      <c r="J11" s="15">
        <v>0.3528</v>
      </c>
      <c r="K11" s="11" t="str">
        <f t="array" ref="K11">IF(C11="Corr", INDEX($D$1:$J$1, XMATCH(MAX(D11:J11), D11:J11)), "")</f>
        <v>rema_tot_irt</v>
      </c>
      <c r="L11" s="4" t="str">
        <f t="shared" si="1"/>
        <v>htks</v>
      </c>
      <c r="M11" s="11" t="str">
        <f t="shared" si="2"/>
        <v/>
      </c>
    </row>
    <row r="12" ht="14.25" customHeight="1">
      <c r="A12" s="11" t="s">
        <v>16</v>
      </c>
      <c r="B12" s="12" t="s">
        <v>17</v>
      </c>
      <c r="C12" s="11" t="s">
        <v>10</v>
      </c>
      <c r="D12" s="16">
        <v>0.0027</v>
      </c>
      <c r="E12" s="17">
        <v>0.0262</v>
      </c>
      <c r="F12" s="17">
        <v>0.0017</v>
      </c>
      <c r="G12" s="17">
        <v>0.0011</v>
      </c>
      <c r="H12" s="17">
        <v>0.0058</v>
      </c>
      <c r="I12" s="17">
        <v>5.0E-4</v>
      </c>
      <c r="J12" s="17">
        <v>2.0E-4</v>
      </c>
      <c r="K12" s="11" t="str">
        <f t="array" ref="K12">IF(C12="Corr", INDEX($D$1:$J$1, XMATCH(MAX(D12:J12), D12:J12)), "")</f>
        <v/>
      </c>
      <c r="L12" s="4" t="str">
        <f t="shared" si="1"/>
        <v/>
      </c>
      <c r="M12" s="11" t="str">
        <f t="shared" si="2"/>
        <v/>
      </c>
    </row>
    <row r="13" ht="14.25" customHeight="1">
      <c r="A13" s="11" t="s">
        <v>16</v>
      </c>
      <c r="B13" s="12" t="s">
        <v>17</v>
      </c>
      <c r="C13" s="11" t="s">
        <v>11</v>
      </c>
      <c r="D13" s="16">
        <v>104.0</v>
      </c>
      <c r="E13" s="17">
        <v>99.0</v>
      </c>
      <c r="F13" s="17">
        <v>101.0</v>
      </c>
      <c r="G13" s="17">
        <v>105.0</v>
      </c>
      <c r="H13" s="17">
        <v>104.0</v>
      </c>
      <c r="I13" s="17">
        <v>105.0</v>
      </c>
      <c r="J13" s="17">
        <v>104.0</v>
      </c>
      <c r="K13" s="11" t="str">
        <f t="array" ref="K13">IF(C13="Corr", INDEX($D$1:$J$1, XMATCH(MAX(D13:J13), D13:J13)), "")</f>
        <v/>
      </c>
      <c r="L13" s="4" t="str">
        <f t="shared" si="1"/>
        <v/>
      </c>
      <c r="M13" s="11" t="str">
        <f t="shared" si="2"/>
        <v/>
      </c>
    </row>
    <row r="14" ht="14.25" customHeight="1">
      <c r="A14" s="11" t="s">
        <v>28</v>
      </c>
      <c r="B14" s="12" t="s">
        <v>29</v>
      </c>
      <c r="C14" s="11" t="s">
        <v>9</v>
      </c>
      <c r="D14" s="15">
        <v>0.2551</v>
      </c>
      <c r="E14" s="13">
        <v>0.2743</v>
      </c>
      <c r="F14" s="18">
        <v>0.1949</v>
      </c>
      <c r="G14" s="14">
        <v>0.1615</v>
      </c>
      <c r="H14" s="15">
        <v>0.3676</v>
      </c>
      <c r="I14" s="14">
        <v>0.1518</v>
      </c>
      <c r="J14" s="15">
        <v>0.288</v>
      </c>
      <c r="K14" s="11" t="str">
        <f t="array" ref="K14">IF(C14="Corr", INDEX($D$1:$J$1, XMATCH(MAX(D14:J14), D14:J14)), "")</f>
        <v>rema_a_irt</v>
      </c>
      <c r="L14" s="4" t="str">
        <f t="shared" si="1"/>
        <v>igdis</v>
      </c>
      <c r="M14" s="11" t="str">
        <f t="shared" si="2"/>
        <v/>
      </c>
    </row>
    <row r="15" ht="14.25" customHeight="1">
      <c r="A15" s="11" t="s">
        <v>28</v>
      </c>
      <c r="B15" s="12" t="s">
        <v>29</v>
      </c>
      <c r="C15" s="11" t="s">
        <v>10</v>
      </c>
      <c r="D15" s="17">
        <v>0.0136</v>
      </c>
      <c r="E15" s="16">
        <v>0.0093</v>
      </c>
      <c r="F15" s="16">
        <v>0.0656</v>
      </c>
      <c r="G15" s="17">
        <v>0.1219</v>
      </c>
      <c r="H15" s="17">
        <v>3.0E-4</v>
      </c>
      <c r="I15" s="17">
        <v>0.1463</v>
      </c>
      <c r="J15" s="17">
        <v>0.0054</v>
      </c>
      <c r="K15" s="11" t="str">
        <f t="array" ref="K15">IF(C15="Corr", INDEX($D$1:$J$1, XMATCH(MAX(D15:J15), D15:J15)), "")</f>
        <v/>
      </c>
      <c r="L15" s="4" t="str">
        <f t="shared" si="1"/>
        <v/>
      </c>
      <c r="M15" s="11" t="str">
        <f t="shared" si="2"/>
        <v/>
      </c>
    </row>
    <row r="16" ht="14.25" customHeight="1">
      <c r="A16" s="11" t="s">
        <v>28</v>
      </c>
      <c r="B16" s="12" t="s">
        <v>29</v>
      </c>
      <c r="C16" s="11" t="s">
        <v>11</v>
      </c>
      <c r="D16" s="17">
        <v>93.0</v>
      </c>
      <c r="E16" s="16">
        <v>89.0</v>
      </c>
      <c r="F16" s="16">
        <v>90.0</v>
      </c>
      <c r="G16" s="17">
        <v>93.0</v>
      </c>
      <c r="H16" s="17">
        <v>92.0</v>
      </c>
      <c r="I16" s="17">
        <v>93.0</v>
      </c>
      <c r="J16" s="17">
        <v>92.0</v>
      </c>
      <c r="K16" s="11" t="str">
        <f t="array" ref="K16">IF(C16="Corr", INDEX($D$1:$J$1, XMATCH(MAX(D16:J16), D16:J16)), "")</f>
        <v/>
      </c>
      <c r="L16" s="4" t="str">
        <f t="shared" si="1"/>
        <v/>
      </c>
      <c r="M16" s="11" t="str">
        <f t="shared" si="2"/>
        <v/>
      </c>
    </row>
    <row r="17" ht="14.25" customHeight="1">
      <c r="A17" s="11" t="s">
        <v>30</v>
      </c>
      <c r="B17" s="12" t="s">
        <v>31</v>
      </c>
      <c r="C17" s="11" t="s">
        <v>9</v>
      </c>
      <c r="D17" s="15">
        <v>0.4896</v>
      </c>
      <c r="E17" s="13">
        <v>0.4512</v>
      </c>
      <c r="F17" s="19">
        <v>0.552</v>
      </c>
      <c r="G17" s="15">
        <v>0.3776</v>
      </c>
      <c r="H17" s="15">
        <v>0.4758</v>
      </c>
      <c r="I17" s="20">
        <v>0.5085</v>
      </c>
      <c r="J17" s="20">
        <v>0.5629</v>
      </c>
      <c r="K17" s="11" t="str">
        <f t="array" ref="K17">IF(C17="Corr", INDEX($D$1:$J$1, XMATCH(MAX(D17:J17), D17:J17)), "")</f>
        <v>rema_tot_irt</v>
      </c>
      <c r="L17" s="4" t="str">
        <f t="shared" si="1"/>
        <v>igdis</v>
      </c>
      <c r="M17" s="11" t="str">
        <f t="shared" si="2"/>
        <v/>
      </c>
    </row>
    <row r="18" ht="14.25" customHeight="1">
      <c r="A18" s="11" t="s">
        <v>30</v>
      </c>
      <c r="B18" s="12" t="s">
        <v>31</v>
      </c>
      <c r="C18" s="11" t="s">
        <v>10</v>
      </c>
      <c r="D18" s="17">
        <v>0.0</v>
      </c>
      <c r="E18" s="16">
        <v>0.0</v>
      </c>
      <c r="F18" s="16">
        <v>0.0</v>
      </c>
      <c r="G18" s="17">
        <v>1.0E-4</v>
      </c>
      <c r="H18" s="17">
        <v>0.0</v>
      </c>
      <c r="I18" s="17">
        <v>0.0</v>
      </c>
      <c r="J18" s="17">
        <v>0.0</v>
      </c>
      <c r="K18" s="11" t="str">
        <f t="array" ref="K18">IF(C18="Corr", INDEX($D$1:$J$1, XMATCH(MAX(D18:J18), D18:J18)), "")</f>
        <v/>
      </c>
      <c r="L18" s="4" t="str">
        <f t="shared" si="1"/>
        <v/>
      </c>
      <c r="M18" s="11" t="str">
        <f t="shared" si="2"/>
        <v/>
      </c>
    </row>
    <row r="19" ht="14.25" customHeight="1">
      <c r="A19" s="11" t="s">
        <v>30</v>
      </c>
      <c r="B19" s="12" t="s">
        <v>31</v>
      </c>
      <c r="C19" s="11" t="s">
        <v>11</v>
      </c>
      <c r="D19" s="17">
        <v>108.0</v>
      </c>
      <c r="E19" s="16">
        <v>102.0</v>
      </c>
      <c r="F19" s="16">
        <v>102.0</v>
      </c>
      <c r="G19" s="17">
        <v>108.0</v>
      </c>
      <c r="H19" s="17">
        <v>107.0</v>
      </c>
      <c r="I19" s="17">
        <v>108.0</v>
      </c>
      <c r="J19" s="17">
        <v>107.0</v>
      </c>
      <c r="K19" s="11" t="str">
        <f t="array" ref="K19">IF(C19="Corr", INDEX($D$1:$J$1, XMATCH(MAX(D19:J19), D19:J19)), "")</f>
        <v/>
      </c>
      <c r="L19" s="4" t="str">
        <f t="shared" si="1"/>
        <v/>
      </c>
      <c r="M19" s="11" t="str">
        <f t="shared" si="2"/>
        <v/>
      </c>
    </row>
    <row r="20" ht="14.25" customHeight="1">
      <c r="A20" s="11" t="s">
        <v>32</v>
      </c>
      <c r="B20" s="12" t="s">
        <v>33</v>
      </c>
      <c r="C20" s="11" t="s">
        <v>9</v>
      </c>
      <c r="D20" s="15">
        <v>0.3806</v>
      </c>
      <c r="E20" s="18">
        <v>0.1467</v>
      </c>
      <c r="F20" s="18">
        <v>0.2283</v>
      </c>
      <c r="G20" s="15">
        <v>0.2998</v>
      </c>
      <c r="H20" s="15">
        <v>0.3751</v>
      </c>
      <c r="I20" s="14">
        <v>0.2136</v>
      </c>
      <c r="J20" s="15">
        <v>0.3017</v>
      </c>
      <c r="K20" s="11" t="str">
        <f t="array" ref="K20">IF(C20="Corr", INDEX($D$1:$J$1, XMATCH(MAX(D20:J20), D20:J20)), "")</f>
        <v>htks_score</v>
      </c>
      <c r="L20" s="4" t="str">
        <f t="shared" si="1"/>
        <v>igdis</v>
      </c>
      <c r="M20" s="11" t="str">
        <f t="shared" si="2"/>
        <v/>
      </c>
    </row>
    <row r="21" ht="14.25" customHeight="1">
      <c r="A21" s="11" t="s">
        <v>32</v>
      </c>
      <c r="B21" s="12" t="s">
        <v>33</v>
      </c>
      <c r="C21" s="11" t="s">
        <v>10</v>
      </c>
      <c r="D21" s="17">
        <v>0.0</v>
      </c>
      <c r="E21" s="16">
        <v>0.1297</v>
      </c>
      <c r="F21" s="16">
        <v>0.0175</v>
      </c>
      <c r="G21" s="17">
        <v>0.0012</v>
      </c>
      <c r="H21" s="17">
        <v>0.0</v>
      </c>
      <c r="I21" s="17">
        <v>0.0225</v>
      </c>
      <c r="J21" s="17">
        <v>0.0012</v>
      </c>
      <c r="K21" s="11" t="str">
        <f t="array" ref="K21">IF(C21="Corr", INDEX($D$1:$J$1, XMATCH(MAX(D21:J21), D21:J21)), "")</f>
        <v/>
      </c>
      <c r="L21" s="4" t="str">
        <f t="shared" si="1"/>
        <v/>
      </c>
      <c r="M21" s="11" t="str">
        <f t="shared" si="2"/>
        <v/>
      </c>
    </row>
    <row r="22" ht="14.25" customHeight="1">
      <c r="A22" s="11" t="s">
        <v>32</v>
      </c>
      <c r="B22" s="12" t="s">
        <v>33</v>
      </c>
      <c r="C22" s="11" t="s">
        <v>11</v>
      </c>
      <c r="D22" s="17">
        <v>113.0</v>
      </c>
      <c r="E22" s="16">
        <v>108.0</v>
      </c>
      <c r="F22" s="16">
        <v>108.0</v>
      </c>
      <c r="G22" s="17">
        <v>114.0</v>
      </c>
      <c r="H22" s="17">
        <v>113.0</v>
      </c>
      <c r="I22" s="17">
        <v>114.0</v>
      </c>
      <c r="J22" s="17">
        <v>113.0</v>
      </c>
      <c r="K22" s="11" t="str">
        <f t="array" ref="K22">IF(C22="Corr", INDEX($D$1:$J$1, XMATCH(MAX(D22:J22), D22:J22)), "")</f>
        <v/>
      </c>
      <c r="L22" s="4" t="str">
        <f t="shared" si="1"/>
        <v/>
      </c>
      <c r="M22" s="11" t="str">
        <f t="shared" si="2"/>
        <v/>
      </c>
    </row>
    <row r="23" ht="14.25" customHeight="1">
      <c r="A23" s="11" t="s">
        <v>37</v>
      </c>
      <c r="B23" s="12" t="s">
        <v>38</v>
      </c>
      <c r="C23" s="11" t="s">
        <v>9</v>
      </c>
      <c r="D23" s="15">
        <v>0.4449</v>
      </c>
      <c r="E23" s="15">
        <v>0.4375</v>
      </c>
      <c r="F23" s="15">
        <v>0.2596</v>
      </c>
      <c r="G23" s="13">
        <v>0.4687</v>
      </c>
      <c r="H23" s="14">
        <v>0.2496</v>
      </c>
      <c r="I23" s="15">
        <v>0.3217</v>
      </c>
      <c r="J23" s="15">
        <v>0.3494</v>
      </c>
      <c r="K23" s="11" t="str">
        <f t="array" ref="K23">IF(C23="Corr", INDEX($D$1:$J$1, XMATCH(MAX(D23:J23), D23:J23)), "")</f>
        <v>topel_pa_stdscore</v>
      </c>
      <c r="L23" s="4" t="str">
        <f t="shared" si="1"/>
        <v>topel</v>
      </c>
      <c r="M23" s="11">
        <f t="shared" si="2"/>
        <v>1</v>
      </c>
    </row>
    <row r="24" ht="14.25" customHeight="1">
      <c r="A24" s="11" t="s">
        <v>37</v>
      </c>
      <c r="B24" s="12" t="s">
        <v>38</v>
      </c>
      <c r="C24" s="11" t="s">
        <v>10</v>
      </c>
      <c r="D24" s="17">
        <v>0.0017</v>
      </c>
      <c r="E24" s="17">
        <v>0.0038</v>
      </c>
      <c r="F24" s="17">
        <v>0.0888</v>
      </c>
      <c r="G24" s="16">
        <v>9.0E-4</v>
      </c>
      <c r="H24" s="17">
        <v>0.0906</v>
      </c>
      <c r="I24" s="17">
        <v>0.0275</v>
      </c>
      <c r="J24" s="17">
        <v>0.0161</v>
      </c>
      <c r="K24" s="11" t="str">
        <f t="array" ref="K24">IF(C24="Corr", INDEX($D$1:$J$1, XMATCH(MAX(D24:J24), D24:J24)), "")</f>
        <v/>
      </c>
      <c r="L24" s="4" t="str">
        <f t="shared" si="1"/>
        <v/>
      </c>
      <c r="M24" s="11" t="str">
        <f t="shared" si="2"/>
        <v/>
      </c>
    </row>
    <row r="25" ht="14.25" customHeight="1">
      <c r="A25" s="11" t="s">
        <v>37</v>
      </c>
      <c r="B25" s="12" t="s">
        <v>38</v>
      </c>
      <c r="C25" s="11" t="s">
        <v>11</v>
      </c>
      <c r="D25" s="17">
        <v>47.0</v>
      </c>
      <c r="E25" s="17">
        <v>42.0</v>
      </c>
      <c r="F25" s="17">
        <v>44.0</v>
      </c>
      <c r="G25" s="16">
        <v>47.0</v>
      </c>
      <c r="H25" s="17">
        <v>47.0</v>
      </c>
      <c r="I25" s="17">
        <v>47.0</v>
      </c>
      <c r="J25" s="17">
        <v>47.0</v>
      </c>
      <c r="K25" s="11" t="str">
        <f t="array" ref="K25">IF(C25="Corr", INDEX($D$1:$J$1, XMATCH(MAX(D25:J25), D25:J25)), "")</f>
        <v/>
      </c>
      <c r="L25" s="4" t="str">
        <f t="shared" si="1"/>
        <v/>
      </c>
      <c r="M25" s="11" t="str">
        <f t="shared" si="2"/>
        <v/>
      </c>
    </row>
    <row r="26" ht="14.25" customHeight="1">
      <c r="A26" s="11" t="s">
        <v>39</v>
      </c>
      <c r="B26" s="12" t="s">
        <v>40</v>
      </c>
      <c r="C26" s="11" t="s">
        <v>9</v>
      </c>
      <c r="D26" s="15">
        <v>0.2806</v>
      </c>
      <c r="E26" s="15">
        <v>0.3732</v>
      </c>
      <c r="F26" s="14">
        <v>0.2339</v>
      </c>
      <c r="G26" s="13">
        <v>0.4019</v>
      </c>
      <c r="H26" s="15">
        <v>0.3687</v>
      </c>
      <c r="I26" s="15">
        <v>0.305</v>
      </c>
      <c r="J26" s="15">
        <v>0.3812</v>
      </c>
      <c r="K26" s="11" t="str">
        <f t="array" ref="K26">IF(C26="Corr", INDEX($D$1:$J$1, XMATCH(MAX(D26:J26), D26:J26)), "")</f>
        <v>topel_pa_stdscore</v>
      </c>
      <c r="L26" s="4" t="str">
        <f t="shared" si="1"/>
        <v>topel</v>
      </c>
      <c r="M26" s="11">
        <f t="shared" si="2"/>
        <v>1</v>
      </c>
    </row>
    <row r="27" ht="14.25" customHeight="1">
      <c r="A27" s="11" t="s">
        <v>39</v>
      </c>
      <c r="B27" s="12" t="s">
        <v>40</v>
      </c>
      <c r="C27" s="11" t="s">
        <v>10</v>
      </c>
      <c r="D27" s="17">
        <v>0.0017</v>
      </c>
      <c r="E27" s="17">
        <v>0.0</v>
      </c>
      <c r="F27" s="17">
        <v>0.0101</v>
      </c>
      <c r="G27" s="16">
        <v>0.0</v>
      </c>
      <c r="H27" s="17">
        <v>0.0</v>
      </c>
      <c r="I27" s="17">
        <v>6.0E-4</v>
      </c>
      <c r="J27" s="17">
        <v>0.0</v>
      </c>
      <c r="K27" s="11" t="str">
        <f t="array" ref="K27">IF(C27="Corr", INDEX($D$1:$J$1, XMATCH(MAX(D27:J27), D27:J27)), "")</f>
        <v/>
      </c>
      <c r="L27" s="4" t="str">
        <f t="shared" si="1"/>
        <v/>
      </c>
      <c r="M27" s="11" t="str">
        <f t="shared" si="2"/>
        <v/>
      </c>
    </row>
    <row r="28" ht="14.25" customHeight="1">
      <c r="A28" s="11" t="s">
        <v>39</v>
      </c>
      <c r="B28" s="12" t="s">
        <v>40</v>
      </c>
      <c r="C28" s="11" t="s">
        <v>11</v>
      </c>
      <c r="D28" s="17">
        <v>122.0</v>
      </c>
      <c r="E28" s="17">
        <v>116.0</v>
      </c>
      <c r="F28" s="17">
        <v>120.0</v>
      </c>
      <c r="G28" s="16">
        <v>123.0</v>
      </c>
      <c r="H28" s="17">
        <v>122.0</v>
      </c>
      <c r="I28" s="17">
        <v>123.0</v>
      </c>
      <c r="J28" s="17">
        <v>122.0</v>
      </c>
      <c r="K28" s="11" t="str">
        <f t="array" ref="K28">IF(C28="Corr", INDEX($D$1:$J$1, XMATCH(MAX(D28:J28), D28:J28)), "")</f>
        <v/>
      </c>
      <c r="L28" s="4" t="str">
        <f t="shared" si="1"/>
        <v/>
      </c>
      <c r="M28" s="11" t="str">
        <f t="shared" si="2"/>
        <v/>
      </c>
    </row>
    <row r="29" ht="14.25" customHeight="1">
      <c r="A29" s="11" t="s">
        <v>41</v>
      </c>
      <c r="B29" s="12" t="s">
        <v>42</v>
      </c>
      <c r="C29" s="11" t="s">
        <v>9</v>
      </c>
      <c r="D29" s="15">
        <v>0.4485</v>
      </c>
      <c r="E29" s="20">
        <v>0.5806</v>
      </c>
      <c r="F29" s="15">
        <v>0.4474</v>
      </c>
      <c r="G29" s="13">
        <v>0.3551</v>
      </c>
      <c r="H29" s="15">
        <v>0.3437</v>
      </c>
      <c r="I29" s="20">
        <v>0.6297</v>
      </c>
      <c r="J29" s="20">
        <v>0.627</v>
      </c>
      <c r="K29" s="11" t="str">
        <f t="array" ref="K29">IF(C29="Corr", INDEX($D$1:$J$1, XMATCH(MAX(D29:J29), D29:J29)), "")</f>
        <v>rema_b_irt</v>
      </c>
      <c r="L29" s="4" t="str">
        <f t="shared" si="1"/>
        <v>topel</v>
      </c>
      <c r="M29" s="11" t="str">
        <f t="shared" si="2"/>
        <v/>
      </c>
    </row>
    <row r="30" ht="14.25" customHeight="1">
      <c r="A30" s="11" t="s">
        <v>41</v>
      </c>
      <c r="B30" s="12" t="s">
        <v>42</v>
      </c>
      <c r="C30" s="11" t="s">
        <v>10</v>
      </c>
      <c r="D30" s="17">
        <v>0.0189</v>
      </c>
      <c r="E30" s="17">
        <v>0.0037</v>
      </c>
      <c r="F30" s="17">
        <v>0.0249</v>
      </c>
      <c r="G30" s="16">
        <v>0.0691</v>
      </c>
      <c r="H30" s="17">
        <v>0.0792</v>
      </c>
      <c r="I30" s="17">
        <v>4.0E-4</v>
      </c>
      <c r="J30" s="17">
        <v>5.0E-4</v>
      </c>
      <c r="K30" s="11" t="str">
        <f t="array" ref="K30">IF(C30="Corr", INDEX($D$1:$J$1, XMATCH(MAX(D30:J30), D30:J30)), "")</f>
        <v/>
      </c>
      <c r="L30" s="4" t="str">
        <f t="shared" si="1"/>
        <v/>
      </c>
      <c r="M30" s="11" t="str">
        <f t="shared" si="2"/>
        <v/>
      </c>
    </row>
    <row r="31" ht="14.25" customHeight="1">
      <c r="A31" s="11" t="s">
        <v>41</v>
      </c>
      <c r="B31" s="12" t="s">
        <v>42</v>
      </c>
      <c r="C31" s="11" t="s">
        <v>11</v>
      </c>
      <c r="D31" s="17">
        <v>27.0</v>
      </c>
      <c r="E31" s="17">
        <v>23.0</v>
      </c>
      <c r="F31" s="17">
        <v>25.0</v>
      </c>
      <c r="G31" s="16">
        <v>27.0</v>
      </c>
      <c r="H31" s="17">
        <v>27.0</v>
      </c>
      <c r="I31" s="17">
        <v>27.0</v>
      </c>
      <c r="J31" s="17">
        <v>27.0</v>
      </c>
      <c r="K31" s="11" t="str">
        <f t="array" ref="K31">IF(C31="Corr", INDEX($D$1:$J$1, XMATCH(MAX(D31:J31), D31:J31)), "")</f>
        <v/>
      </c>
      <c r="L31" s="4" t="str">
        <f t="shared" si="1"/>
        <v/>
      </c>
      <c r="M31" s="11" t="str">
        <f t="shared" si="2"/>
        <v/>
      </c>
    </row>
    <row r="32" ht="14.25" customHeight="1">
      <c r="A32" s="11" t="s">
        <v>43</v>
      </c>
      <c r="B32" s="12" t="s">
        <v>44</v>
      </c>
      <c r="C32" s="11" t="s">
        <v>9</v>
      </c>
      <c r="D32" s="14">
        <v>0.1972</v>
      </c>
      <c r="E32" s="15">
        <v>0.2536</v>
      </c>
      <c r="F32" s="15">
        <v>0.2561</v>
      </c>
      <c r="G32" s="13">
        <v>0.4116</v>
      </c>
      <c r="H32" s="20">
        <v>0.5735</v>
      </c>
      <c r="I32" s="15">
        <v>0.3371</v>
      </c>
      <c r="J32" s="15">
        <v>0.4507</v>
      </c>
      <c r="K32" s="11" t="str">
        <f t="array" ref="K32">IF(C32="Corr", INDEX($D$1:$J$1, XMATCH(MAX(D32:J32), D32:J32)), "")</f>
        <v>rema_a_irt</v>
      </c>
      <c r="L32" s="4" t="str">
        <f t="shared" si="1"/>
        <v>topel</v>
      </c>
      <c r="M32" s="11" t="str">
        <f t="shared" si="2"/>
        <v/>
      </c>
    </row>
    <row r="33" ht="14.25" customHeight="1">
      <c r="A33" s="11" t="s">
        <v>43</v>
      </c>
      <c r="B33" s="12" t="s">
        <v>44</v>
      </c>
      <c r="C33" s="11" t="s">
        <v>10</v>
      </c>
      <c r="D33" s="17">
        <v>0.1451</v>
      </c>
      <c r="E33" s="17">
        <v>0.0669</v>
      </c>
      <c r="F33" s="17">
        <v>0.0641</v>
      </c>
      <c r="G33" s="16">
        <v>0.0015</v>
      </c>
      <c r="H33" s="17">
        <v>0.0</v>
      </c>
      <c r="I33" s="17">
        <v>0.0103</v>
      </c>
      <c r="J33" s="17">
        <v>4.0E-4</v>
      </c>
      <c r="K33" s="11" t="str">
        <f t="array" ref="K33">IF(C33="Corr", INDEX($D$1:$J$1, XMATCH(MAX(D33:J33), D33:J33)), "")</f>
        <v/>
      </c>
      <c r="L33" s="4" t="str">
        <f t="shared" si="1"/>
        <v/>
      </c>
      <c r="M33" s="11" t="str">
        <f t="shared" si="2"/>
        <v/>
      </c>
    </row>
    <row r="34" ht="14.25" customHeight="1">
      <c r="A34" s="11" t="s">
        <v>43</v>
      </c>
      <c r="B34" s="12" t="s">
        <v>44</v>
      </c>
      <c r="C34" s="11" t="s">
        <v>11</v>
      </c>
      <c r="D34" s="17">
        <v>56.0</v>
      </c>
      <c r="E34" s="17">
        <v>53.0</v>
      </c>
      <c r="F34" s="17">
        <v>53.0</v>
      </c>
      <c r="G34" s="16">
        <v>57.0</v>
      </c>
      <c r="H34" s="17">
        <v>57.0</v>
      </c>
      <c r="I34" s="17">
        <v>57.0</v>
      </c>
      <c r="J34" s="17">
        <v>57.0</v>
      </c>
      <c r="K34" s="11" t="str">
        <f t="array" ref="K34">IF(C34="Corr", INDEX($D$1:$J$1, XMATCH(MAX(D34:J34), D34:J34)), "")</f>
        <v/>
      </c>
      <c r="L34" s="4" t="str">
        <f t="shared" si="1"/>
        <v/>
      </c>
      <c r="M34" s="11" t="str">
        <f t="shared" si="2"/>
        <v/>
      </c>
    </row>
    <row r="35" ht="14.25" customHeight="1">
      <c r="A35" s="11" t="s">
        <v>45</v>
      </c>
      <c r="B35" s="12" t="s">
        <v>46</v>
      </c>
      <c r="C35" s="11" t="s">
        <v>9</v>
      </c>
      <c r="D35" s="15">
        <v>0.3603</v>
      </c>
      <c r="E35" s="15">
        <v>0.3053</v>
      </c>
      <c r="F35" s="15">
        <v>0.3888</v>
      </c>
      <c r="G35" s="19">
        <v>0.5418</v>
      </c>
      <c r="H35" s="20">
        <v>0.56</v>
      </c>
      <c r="I35" s="15">
        <v>0.4342</v>
      </c>
      <c r="J35" s="20">
        <v>0.5314</v>
      </c>
      <c r="K35" s="11" t="str">
        <f t="array" ref="K35">IF(C35="Corr", INDEX($D$1:$J$1, XMATCH(MAX(D35:J35), D35:J35)), "")</f>
        <v>rema_a_irt</v>
      </c>
      <c r="L35" s="4" t="str">
        <f t="shared" si="1"/>
        <v>topel</v>
      </c>
      <c r="M35" s="11" t="str">
        <f t="shared" si="2"/>
        <v/>
      </c>
    </row>
    <row r="36" ht="14.25" customHeight="1">
      <c r="A36" s="11" t="s">
        <v>45</v>
      </c>
      <c r="B36" s="12" t="s">
        <v>46</v>
      </c>
      <c r="C36" s="11" t="s">
        <v>10</v>
      </c>
      <c r="D36" s="17">
        <v>1.0E-4</v>
      </c>
      <c r="E36" s="17">
        <v>0.0013</v>
      </c>
      <c r="F36" s="17">
        <v>0.0</v>
      </c>
      <c r="G36" s="16">
        <v>0.0</v>
      </c>
      <c r="H36" s="17">
        <v>0.0</v>
      </c>
      <c r="I36" s="17">
        <v>0.0</v>
      </c>
      <c r="J36" s="17">
        <v>0.0</v>
      </c>
      <c r="K36" s="11" t="str">
        <f t="array" ref="K36">IF(C36="Corr", INDEX($D$1:$J$1, XMATCH(MAX(D36:J36), D36:J36)), "")</f>
        <v/>
      </c>
      <c r="L36" s="4" t="str">
        <f t="shared" si="1"/>
        <v/>
      </c>
      <c r="M36" s="11" t="str">
        <f t="shared" si="2"/>
        <v/>
      </c>
    </row>
    <row r="37" ht="14.25" customHeight="1">
      <c r="A37" s="11" t="s">
        <v>45</v>
      </c>
      <c r="B37" s="12" t="s">
        <v>46</v>
      </c>
      <c r="C37" s="11" t="s">
        <v>11</v>
      </c>
      <c r="D37" s="17">
        <v>113.0</v>
      </c>
      <c r="E37" s="17">
        <v>108.0</v>
      </c>
      <c r="F37" s="17">
        <v>108.0</v>
      </c>
      <c r="G37" s="16">
        <v>114.0</v>
      </c>
      <c r="H37" s="17">
        <v>113.0</v>
      </c>
      <c r="I37" s="17">
        <v>114.0</v>
      </c>
      <c r="J37" s="17">
        <v>113.0</v>
      </c>
      <c r="K37" s="11" t="str">
        <f t="array" ref="K37">IF(C37="Corr", INDEX($D$1:$J$1, XMATCH(MAX(D37:J37), D37:J37)), "")</f>
        <v/>
      </c>
      <c r="L37" s="4" t="str">
        <f t="shared" si="1"/>
        <v/>
      </c>
      <c r="M37" s="11" t="str">
        <f t="shared" si="2"/>
        <v/>
      </c>
    </row>
    <row r="38" ht="14.25" customHeight="1">
      <c r="A38" s="11" t="s">
        <v>47</v>
      </c>
      <c r="B38" s="12" t="s">
        <v>48</v>
      </c>
      <c r="C38" s="11" t="s">
        <v>9</v>
      </c>
      <c r="D38" s="14">
        <v>0.2351</v>
      </c>
      <c r="E38" s="15">
        <v>0.3627</v>
      </c>
      <c r="F38" s="15">
        <v>0.3269</v>
      </c>
      <c r="G38" s="13">
        <v>0.3153</v>
      </c>
      <c r="H38" s="15">
        <v>0.4829</v>
      </c>
      <c r="I38" s="15">
        <v>0.4147</v>
      </c>
      <c r="J38" s="15">
        <v>0.4855</v>
      </c>
      <c r="K38" s="11" t="str">
        <f t="array" ref="K38">IF(C38="Corr", INDEX($D$1:$J$1, XMATCH(MAX(D38:J38), D38:J38)), "")</f>
        <v>rema_tot_irt</v>
      </c>
      <c r="L38" s="4" t="str">
        <f t="shared" si="1"/>
        <v>topel</v>
      </c>
      <c r="M38" s="11" t="str">
        <f t="shared" si="2"/>
        <v/>
      </c>
    </row>
    <row r="39" ht="14.25" customHeight="1">
      <c r="A39" s="11" t="s">
        <v>47</v>
      </c>
      <c r="B39" s="12" t="s">
        <v>48</v>
      </c>
      <c r="C39" s="11" t="s">
        <v>10</v>
      </c>
      <c r="D39" s="17">
        <v>0.0086</v>
      </c>
      <c r="E39" s="17">
        <v>1.0E-4</v>
      </c>
      <c r="F39" s="17">
        <v>3.0E-4</v>
      </c>
      <c r="G39" s="16">
        <v>3.0E-4</v>
      </c>
      <c r="H39" s="17">
        <v>0.0</v>
      </c>
      <c r="I39" s="17">
        <v>0.0</v>
      </c>
      <c r="J39" s="17">
        <v>0.0</v>
      </c>
      <c r="K39" s="11" t="str">
        <f t="array" ref="K39">IF(C39="Corr", INDEX($D$1:$J$1, XMATCH(MAX(D39:J39), D39:J39)), "")</f>
        <v/>
      </c>
      <c r="L39" s="4" t="str">
        <f t="shared" si="1"/>
        <v/>
      </c>
      <c r="M39" s="11" t="str">
        <f t="shared" si="2"/>
        <v/>
      </c>
    </row>
    <row r="40" ht="14.25" customHeight="1">
      <c r="A40" s="11" t="s">
        <v>47</v>
      </c>
      <c r="B40" s="12" t="s">
        <v>48</v>
      </c>
      <c r="C40" s="11" t="s">
        <v>11</v>
      </c>
      <c r="D40" s="17">
        <v>124.0</v>
      </c>
      <c r="E40" s="17">
        <v>117.0</v>
      </c>
      <c r="F40" s="17">
        <v>119.0</v>
      </c>
      <c r="G40" s="16">
        <v>125.0</v>
      </c>
      <c r="H40" s="17">
        <v>124.0</v>
      </c>
      <c r="I40" s="17">
        <v>125.0</v>
      </c>
      <c r="J40" s="17">
        <v>124.0</v>
      </c>
      <c r="K40" s="11" t="str">
        <f t="array" ref="K40">IF(C40="Corr", INDEX($D$1:$J$1, XMATCH(MAX(D40:J40), D40:J40)), "")</f>
        <v/>
      </c>
      <c r="L40" s="4" t="str">
        <f t="shared" si="1"/>
        <v/>
      </c>
      <c r="M40" s="11" t="str">
        <f t="shared" si="2"/>
        <v/>
      </c>
    </row>
    <row r="41" ht="14.25" customHeight="1">
      <c r="A41" s="11" t="s">
        <v>49</v>
      </c>
      <c r="B41" s="12" t="s">
        <v>50</v>
      </c>
      <c r="C41" s="11" t="s">
        <v>9</v>
      </c>
      <c r="D41" s="15">
        <v>0.2848</v>
      </c>
      <c r="E41" s="15">
        <v>0.3626</v>
      </c>
      <c r="F41" s="15">
        <v>0.3592</v>
      </c>
      <c r="G41" s="13">
        <v>0.4279</v>
      </c>
      <c r="H41" s="20">
        <v>0.5824</v>
      </c>
      <c r="I41" s="15">
        <v>0.4043</v>
      </c>
      <c r="J41" s="15">
        <v>0.4996</v>
      </c>
      <c r="K41" s="11" t="str">
        <f t="array" ref="K41">IF(C41="Corr", INDEX($D$1:$J$1, XMATCH(MAX(D41:J41), D41:J41)), "")</f>
        <v>rema_a_irt</v>
      </c>
      <c r="L41" s="4" t="str">
        <f t="shared" si="1"/>
        <v>topel</v>
      </c>
      <c r="M41" s="11" t="str">
        <f t="shared" si="2"/>
        <v/>
      </c>
    </row>
    <row r="42" ht="14.25" customHeight="1">
      <c r="A42" s="11" t="s">
        <v>49</v>
      </c>
      <c r="B42" s="12" t="s">
        <v>50</v>
      </c>
      <c r="C42" s="11" t="s">
        <v>10</v>
      </c>
      <c r="D42" s="17">
        <v>0.0015</v>
      </c>
      <c r="E42" s="17">
        <v>1.0E-4</v>
      </c>
      <c r="F42" s="17">
        <v>1.0E-4</v>
      </c>
      <c r="G42" s="16">
        <v>0.0</v>
      </c>
      <c r="H42" s="17">
        <v>0.0</v>
      </c>
      <c r="I42" s="17">
        <v>0.0</v>
      </c>
      <c r="J42" s="17">
        <v>0.0</v>
      </c>
      <c r="K42" s="11" t="str">
        <f t="array" ref="K42">IF(C42="Corr", INDEX($D$1:$J$1, XMATCH(MAX(D42:J42), D42:J42)), "")</f>
        <v/>
      </c>
      <c r="L42" s="4" t="str">
        <f t="shared" si="1"/>
        <v/>
      </c>
      <c r="M42" s="11" t="str">
        <f t="shared" si="2"/>
        <v/>
      </c>
    </row>
    <row r="43" ht="14.25" customHeight="1">
      <c r="A43" s="11" t="s">
        <v>49</v>
      </c>
      <c r="B43" s="12" t="s">
        <v>50</v>
      </c>
      <c r="C43" s="11" t="s">
        <v>11</v>
      </c>
      <c r="D43" s="17">
        <v>121.0</v>
      </c>
      <c r="E43" s="17">
        <v>115.0</v>
      </c>
      <c r="F43" s="17">
        <v>115.0</v>
      </c>
      <c r="G43" s="16">
        <v>122.0</v>
      </c>
      <c r="H43" s="17">
        <v>121.0</v>
      </c>
      <c r="I43" s="17">
        <v>122.0</v>
      </c>
      <c r="J43" s="17">
        <v>121.0</v>
      </c>
      <c r="K43" s="11" t="str">
        <f t="array" ref="K43">IF(C43="Corr", INDEX($D$1:$J$1, XMATCH(MAX(D43:J43), D43:J43)), "")</f>
        <v/>
      </c>
      <c r="L43" s="4" t="str">
        <f t="shared" si="1"/>
        <v/>
      </c>
      <c r="M43" s="11" t="str">
        <f t="shared" si="2"/>
        <v/>
      </c>
    </row>
    <row r="44" ht="14.25" customHeight="1">
      <c r="A44" s="11" t="s">
        <v>51</v>
      </c>
      <c r="B44" s="12" t="s">
        <v>52</v>
      </c>
      <c r="C44" s="11" t="s">
        <v>9</v>
      </c>
      <c r="D44" s="14">
        <v>0.1512</v>
      </c>
      <c r="E44" s="15">
        <v>0.3434</v>
      </c>
      <c r="F44" s="15">
        <v>0.277</v>
      </c>
      <c r="G44" s="13">
        <v>0.3405</v>
      </c>
      <c r="H44" s="15">
        <v>0.4129</v>
      </c>
      <c r="I44" s="15">
        <v>0.3519</v>
      </c>
      <c r="J44" s="15">
        <v>0.4102</v>
      </c>
      <c r="K44" s="11" t="str">
        <f t="array" ref="K44">IF(C44="Corr", INDEX($D$1:$J$1, XMATCH(MAX(D44:J44), D44:J44)), "")</f>
        <v>rema_a_irt</v>
      </c>
      <c r="L44" s="4" t="str">
        <f t="shared" si="1"/>
        <v>topel</v>
      </c>
      <c r="M44" s="11" t="str">
        <f t="shared" si="2"/>
        <v/>
      </c>
    </row>
    <row r="45" ht="14.25" customHeight="1">
      <c r="A45" s="11" t="s">
        <v>51</v>
      </c>
      <c r="B45" s="12" t="s">
        <v>52</v>
      </c>
      <c r="C45" s="11" t="s">
        <v>10</v>
      </c>
      <c r="D45" s="17">
        <v>0.0923</v>
      </c>
      <c r="E45" s="17">
        <v>1.0E-4</v>
      </c>
      <c r="F45" s="17">
        <v>0.0023</v>
      </c>
      <c r="G45" s="16">
        <v>1.0E-4</v>
      </c>
      <c r="H45" s="17">
        <v>0.0</v>
      </c>
      <c r="I45" s="17">
        <v>1.0E-4</v>
      </c>
      <c r="J45" s="17">
        <v>0.0</v>
      </c>
      <c r="K45" s="11" t="str">
        <f t="array" ref="K45">IF(C45="Corr", INDEX($D$1:$J$1, XMATCH(MAX(D45:J45), D45:J45)), "")</f>
        <v/>
      </c>
      <c r="L45" s="4" t="str">
        <f t="shared" si="1"/>
        <v/>
      </c>
      <c r="M45" s="11" t="str">
        <f t="shared" si="2"/>
        <v/>
      </c>
    </row>
    <row r="46" ht="14.25" customHeight="1">
      <c r="A46" s="11" t="s">
        <v>51</v>
      </c>
      <c r="B46" s="12" t="s">
        <v>52</v>
      </c>
      <c r="C46" s="11" t="s">
        <v>11</v>
      </c>
      <c r="D46" s="17">
        <v>125.0</v>
      </c>
      <c r="E46" s="17">
        <v>118.0</v>
      </c>
      <c r="F46" s="17">
        <v>119.0</v>
      </c>
      <c r="G46" s="16">
        <v>126.0</v>
      </c>
      <c r="H46" s="17">
        <v>125.0</v>
      </c>
      <c r="I46" s="17">
        <v>126.0</v>
      </c>
      <c r="J46" s="17">
        <v>125.0</v>
      </c>
      <c r="K46" s="11" t="str">
        <f t="array" ref="K46">IF(C46="Corr", INDEX($D$1:$J$1, XMATCH(MAX(D46:J46), D46:J46)), "")</f>
        <v/>
      </c>
      <c r="L46" s="4" t="str">
        <f t="shared" si="1"/>
        <v/>
      </c>
      <c r="M46" s="11" t="str">
        <f t="shared" si="2"/>
        <v/>
      </c>
    </row>
    <row r="47" ht="14.25" customHeight="1">
      <c r="A47" s="11" t="s">
        <v>53</v>
      </c>
      <c r="B47" s="12" t="s">
        <v>54</v>
      </c>
      <c r="C47" s="11" t="s">
        <v>9</v>
      </c>
      <c r="D47" s="15">
        <v>0.3679</v>
      </c>
      <c r="E47" s="15">
        <v>0.4583</v>
      </c>
      <c r="F47" s="20">
        <v>0.6221</v>
      </c>
      <c r="G47" s="13">
        <v>0.3828</v>
      </c>
      <c r="H47" s="20">
        <v>0.5822</v>
      </c>
      <c r="I47" s="20">
        <v>0.5291</v>
      </c>
      <c r="J47" s="20">
        <v>0.6426</v>
      </c>
      <c r="K47" s="11" t="str">
        <f t="array" ref="K47">IF(C47="Corr", INDEX($D$1:$J$1, XMATCH(MAX(D47:J47), D47:J47)), "")</f>
        <v>rema_tot_irt</v>
      </c>
      <c r="L47" s="4" t="str">
        <f t="shared" si="1"/>
        <v>topel</v>
      </c>
      <c r="M47" s="11" t="str">
        <f t="shared" si="2"/>
        <v/>
      </c>
    </row>
    <row r="48" ht="14.25" customHeight="1">
      <c r="A48" s="11" t="s">
        <v>53</v>
      </c>
      <c r="B48" s="12" t="s">
        <v>54</v>
      </c>
      <c r="C48" s="11" t="s">
        <v>10</v>
      </c>
      <c r="D48" s="17">
        <v>0.0251</v>
      </c>
      <c r="E48" s="17">
        <v>0.0049</v>
      </c>
      <c r="F48" s="17">
        <v>1.0E-4</v>
      </c>
      <c r="G48" s="16">
        <v>0.0194</v>
      </c>
      <c r="H48" s="17">
        <v>2.0E-4</v>
      </c>
      <c r="I48" s="17">
        <v>8.0E-4</v>
      </c>
      <c r="J48" s="17">
        <v>0.0</v>
      </c>
      <c r="K48" s="11" t="str">
        <f t="array" ref="K48">IF(C48="Corr", INDEX($D$1:$J$1, XMATCH(MAX(D48:J48), D48:J48)), "")</f>
        <v/>
      </c>
      <c r="L48" s="4" t="str">
        <f t="shared" si="1"/>
        <v/>
      </c>
      <c r="M48" s="11" t="str">
        <f t="shared" si="2"/>
        <v/>
      </c>
    </row>
    <row r="49" ht="14.25" customHeight="1">
      <c r="A49" s="11" t="s">
        <v>53</v>
      </c>
      <c r="B49" s="12" t="s">
        <v>54</v>
      </c>
      <c r="C49" s="11" t="s">
        <v>11</v>
      </c>
      <c r="D49" s="17">
        <v>37.0</v>
      </c>
      <c r="E49" s="17">
        <v>36.0</v>
      </c>
      <c r="F49" s="17">
        <v>36.0</v>
      </c>
      <c r="G49" s="16">
        <v>37.0</v>
      </c>
      <c r="H49" s="17">
        <v>37.0</v>
      </c>
      <c r="I49" s="17">
        <v>37.0</v>
      </c>
      <c r="J49" s="17">
        <v>37.0</v>
      </c>
      <c r="K49" s="11" t="str">
        <f t="array" ref="K49">IF(C49="Corr", INDEX($D$1:$J$1, XMATCH(MAX(D49:J49), D49:J49)), "")</f>
        <v/>
      </c>
      <c r="L49" s="4" t="str">
        <f t="shared" si="1"/>
        <v/>
      </c>
      <c r="M49" s="11" t="str">
        <f t="shared" si="2"/>
        <v/>
      </c>
    </row>
    <row r="50" ht="14.25" customHeight="1">
      <c r="A50" s="11" t="s">
        <v>55</v>
      </c>
      <c r="B50" s="12" t="s">
        <v>56</v>
      </c>
      <c r="C50" s="11" t="s">
        <v>9</v>
      </c>
      <c r="D50" s="14">
        <v>0.2388</v>
      </c>
      <c r="E50" s="15">
        <v>0.2518</v>
      </c>
      <c r="F50" s="15">
        <v>0.435</v>
      </c>
      <c r="G50" s="19">
        <v>0.5063</v>
      </c>
      <c r="H50" s="15">
        <v>0.3847</v>
      </c>
      <c r="I50" s="15">
        <v>0.3178</v>
      </c>
      <c r="J50" s="15">
        <v>0.3831</v>
      </c>
      <c r="K50" s="11" t="str">
        <f t="array" ref="K50">IF(C50="Corr", INDEX($D$1:$J$1, XMATCH(MAX(D50:J50), D50:J50)), "")</f>
        <v>topel_pa_stdscore</v>
      </c>
      <c r="L50" s="4" t="str">
        <f t="shared" si="1"/>
        <v>topel</v>
      </c>
      <c r="M50" s="11">
        <f t="shared" si="2"/>
        <v>1</v>
      </c>
    </row>
    <row r="51" ht="14.25" customHeight="1">
      <c r="A51" s="11" t="s">
        <v>55</v>
      </c>
      <c r="B51" s="12" t="s">
        <v>56</v>
      </c>
      <c r="C51" s="11" t="s">
        <v>10</v>
      </c>
      <c r="D51" s="17">
        <v>0.0594</v>
      </c>
      <c r="E51" s="17">
        <v>0.0523</v>
      </c>
      <c r="F51" s="17">
        <v>5.0E-4</v>
      </c>
      <c r="G51" s="16">
        <v>0.0</v>
      </c>
      <c r="H51" s="17">
        <v>0.0017</v>
      </c>
      <c r="I51" s="17">
        <v>0.0105</v>
      </c>
      <c r="J51" s="17">
        <v>0.0018</v>
      </c>
      <c r="K51" s="11" t="str">
        <f t="array" ref="K51">IF(C51="Corr", INDEX($D$1:$J$1, XMATCH(MAX(D51:J51), D51:J51)), "")</f>
        <v/>
      </c>
      <c r="L51" s="4" t="str">
        <f t="shared" si="1"/>
        <v/>
      </c>
      <c r="M51" s="11" t="str">
        <f t="shared" si="2"/>
        <v/>
      </c>
    </row>
    <row r="52" ht="14.25" customHeight="1">
      <c r="A52" s="11" t="s">
        <v>55</v>
      </c>
      <c r="B52" s="12" t="s">
        <v>56</v>
      </c>
      <c r="C52" s="11" t="s">
        <v>11</v>
      </c>
      <c r="D52" s="17">
        <v>63.0</v>
      </c>
      <c r="E52" s="17">
        <v>60.0</v>
      </c>
      <c r="F52" s="17">
        <v>60.0</v>
      </c>
      <c r="G52" s="16">
        <v>64.0</v>
      </c>
      <c r="H52" s="17">
        <v>64.0</v>
      </c>
      <c r="I52" s="17">
        <v>64.0</v>
      </c>
      <c r="J52" s="17">
        <v>64.0</v>
      </c>
      <c r="K52" s="11" t="str">
        <f t="array" ref="K52">IF(C52="Corr", INDEX($D$1:$J$1, XMATCH(MAX(D52:J52), D52:J52)), "")</f>
        <v/>
      </c>
      <c r="L52" s="4" t="str">
        <f t="shared" si="1"/>
        <v/>
      </c>
      <c r="M52" s="11" t="str">
        <f t="shared" si="2"/>
        <v/>
      </c>
    </row>
    <row r="53" ht="14.25" customHeight="1">
      <c r="A53" s="11" t="s">
        <v>65</v>
      </c>
      <c r="B53" s="12" t="s">
        <v>66</v>
      </c>
      <c r="C53" s="11" t="s">
        <v>9</v>
      </c>
      <c r="D53" s="15">
        <v>0.26</v>
      </c>
      <c r="E53" s="15">
        <v>0.2606</v>
      </c>
      <c r="F53" s="15">
        <v>0.2552</v>
      </c>
      <c r="G53" s="15">
        <v>0.3628</v>
      </c>
      <c r="H53" s="13">
        <v>0.4798</v>
      </c>
      <c r="I53" s="13">
        <v>0.2881</v>
      </c>
      <c r="J53" s="13">
        <v>0.3937</v>
      </c>
      <c r="K53" s="11" t="str">
        <f t="array" ref="K53">IF(C53="Corr", INDEX($D$1:$J$1, XMATCH(MAX(D53:J53), D53:J53)), "")</f>
        <v>rema_a_irt</v>
      </c>
      <c r="L53" s="4" t="str">
        <f t="shared" si="1"/>
        <v>rema</v>
      </c>
      <c r="M53" s="11">
        <f t="shared" si="2"/>
        <v>1</v>
      </c>
    </row>
    <row r="54" ht="14.25" customHeight="1">
      <c r="A54" s="11" t="s">
        <v>65</v>
      </c>
      <c r="B54" s="12" t="s">
        <v>66</v>
      </c>
      <c r="C54" s="11" t="s">
        <v>10</v>
      </c>
      <c r="D54" s="17">
        <v>0.0077</v>
      </c>
      <c r="E54" s="17">
        <v>0.0092</v>
      </c>
      <c r="F54" s="17">
        <v>0.0108</v>
      </c>
      <c r="G54" s="17">
        <v>1.0E-4</v>
      </c>
      <c r="H54" s="16">
        <v>0.0</v>
      </c>
      <c r="I54" s="16">
        <v>0.0029</v>
      </c>
      <c r="J54" s="16">
        <v>0.0</v>
      </c>
      <c r="K54" s="11" t="str">
        <f t="array" ref="K54">IF(C54="Corr", INDEX($D$1:$J$1, XMATCH(MAX(D54:J54), D54:J54)), "")</f>
        <v/>
      </c>
      <c r="L54" s="4" t="str">
        <f t="shared" si="1"/>
        <v/>
      </c>
      <c r="M54" s="11" t="str">
        <f t="shared" si="2"/>
        <v/>
      </c>
    </row>
    <row r="55" ht="14.25" customHeight="1">
      <c r="A55" s="11" t="s">
        <v>65</v>
      </c>
      <c r="B55" s="12" t="s">
        <v>66</v>
      </c>
      <c r="C55" s="11" t="s">
        <v>11</v>
      </c>
      <c r="D55" s="17">
        <v>104.0</v>
      </c>
      <c r="E55" s="17">
        <v>99.0</v>
      </c>
      <c r="F55" s="17">
        <v>99.0</v>
      </c>
      <c r="G55" s="17">
        <v>105.0</v>
      </c>
      <c r="H55" s="16">
        <v>104.0</v>
      </c>
      <c r="I55" s="16">
        <v>105.0</v>
      </c>
      <c r="J55" s="16">
        <v>104.0</v>
      </c>
      <c r="K55" s="11" t="str">
        <f t="array" ref="K55">IF(C55="Corr", INDEX($D$1:$J$1, XMATCH(MAX(D55:J55), D55:J55)), "")</f>
        <v/>
      </c>
      <c r="L55" s="4" t="str">
        <f t="shared" si="1"/>
        <v/>
      </c>
      <c r="M55" s="11" t="str">
        <f t="shared" si="2"/>
        <v/>
      </c>
    </row>
    <row r="56" ht="14.25" customHeight="1">
      <c r="A56" s="11" t="s">
        <v>67</v>
      </c>
      <c r="B56" s="12" t="s">
        <v>68</v>
      </c>
      <c r="C56" s="11" t="s">
        <v>9</v>
      </c>
      <c r="D56" s="15">
        <v>0.2958</v>
      </c>
      <c r="E56" s="15">
        <v>0.2723</v>
      </c>
      <c r="F56" s="14">
        <v>0.1954</v>
      </c>
      <c r="G56" s="15">
        <v>0.2924</v>
      </c>
      <c r="H56" s="13">
        <v>0.344</v>
      </c>
      <c r="I56" s="13">
        <v>0.3109</v>
      </c>
      <c r="J56" s="13">
        <v>0.3213</v>
      </c>
      <c r="K56" s="11" t="str">
        <f t="array" ref="K56">IF(C56="Corr", INDEX($D$1:$J$1, XMATCH(MAX(D56:J56), D56:J56)), "")</f>
        <v>rema_a_irt</v>
      </c>
      <c r="L56" s="4" t="str">
        <f t="shared" si="1"/>
        <v>rema</v>
      </c>
      <c r="M56" s="11">
        <f t="shared" si="2"/>
        <v>1</v>
      </c>
    </row>
    <row r="57" ht="14.25" customHeight="1">
      <c r="A57" s="11" t="s">
        <v>67</v>
      </c>
      <c r="B57" s="12" t="s">
        <v>68</v>
      </c>
      <c r="C57" s="11" t="s">
        <v>10</v>
      </c>
      <c r="D57" s="17">
        <v>0.001</v>
      </c>
      <c r="E57" s="17">
        <v>0.0034</v>
      </c>
      <c r="F57" s="17">
        <v>0.0356</v>
      </c>
      <c r="G57" s="17">
        <v>0.0011</v>
      </c>
      <c r="H57" s="16">
        <v>1.0E-4</v>
      </c>
      <c r="I57" s="16">
        <v>5.0E-4</v>
      </c>
      <c r="J57" s="16">
        <v>3.0E-4</v>
      </c>
      <c r="K57" s="11" t="str">
        <f t="array" ref="K57">IF(C57="Corr", INDEX($D$1:$J$1, XMATCH(MAX(D57:J57), D57:J57)), "")</f>
        <v/>
      </c>
      <c r="L57" s="4" t="str">
        <f t="shared" si="1"/>
        <v/>
      </c>
      <c r="M57" s="11" t="str">
        <f t="shared" si="2"/>
        <v/>
      </c>
    </row>
    <row r="58" ht="14.25" customHeight="1">
      <c r="A58" s="11" t="s">
        <v>67</v>
      </c>
      <c r="B58" s="12" t="s">
        <v>68</v>
      </c>
      <c r="C58" s="11" t="s">
        <v>11</v>
      </c>
      <c r="D58" s="17">
        <v>120.0</v>
      </c>
      <c r="E58" s="17">
        <v>114.0</v>
      </c>
      <c r="F58" s="17">
        <v>116.0</v>
      </c>
      <c r="G58" s="17">
        <v>121.0</v>
      </c>
      <c r="H58" s="16">
        <v>121.0</v>
      </c>
      <c r="I58" s="16">
        <v>121.0</v>
      </c>
      <c r="J58" s="16">
        <v>121.0</v>
      </c>
      <c r="K58" s="11" t="str">
        <f t="array" ref="K58">IF(C58="Corr", INDEX($D$1:$J$1, XMATCH(MAX(D58:J58), D58:J58)), "")</f>
        <v/>
      </c>
      <c r="L58" s="4" t="str">
        <f t="shared" si="1"/>
        <v/>
      </c>
      <c r="M58" s="11" t="str">
        <f t="shared" si="2"/>
        <v/>
      </c>
    </row>
    <row r="59" ht="14.25" customHeight="1">
      <c r="A59" s="11" t="s">
        <v>69</v>
      </c>
      <c r="B59" s="12" t="s">
        <v>70</v>
      </c>
      <c r="C59" s="11" t="s">
        <v>9</v>
      </c>
      <c r="D59" s="15">
        <v>0.2781</v>
      </c>
      <c r="E59" s="15">
        <v>0.2953</v>
      </c>
      <c r="F59" s="15">
        <v>0.3185</v>
      </c>
      <c r="G59" s="15">
        <v>0.3363</v>
      </c>
      <c r="H59" s="19">
        <v>0.5567</v>
      </c>
      <c r="I59" s="13">
        <v>0.4799</v>
      </c>
      <c r="J59" s="19">
        <v>0.5615</v>
      </c>
      <c r="K59" s="11" t="str">
        <f t="array" ref="K59">IF(C59="Corr", INDEX($D$1:$J$1, XMATCH(MAX(D59:J59), D59:J59)), "")</f>
        <v>rema_tot_irt</v>
      </c>
      <c r="L59" s="4" t="str">
        <f t="shared" si="1"/>
        <v>rema</v>
      </c>
      <c r="M59" s="11">
        <f t="shared" si="2"/>
        <v>1</v>
      </c>
    </row>
    <row r="60" ht="14.25" customHeight="1">
      <c r="A60" s="11" t="s">
        <v>69</v>
      </c>
      <c r="B60" s="12" t="s">
        <v>70</v>
      </c>
      <c r="C60" s="11" t="s">
        <v>10</v>
      </c>
      <c r="D60" s="17">
        <v>0.1057</v>
      </c>
      <c r="E60" s="17">
        <v>0.1068</v>
      </c>
      <c r="F60" s="17">
        <v>0.0757</v>
      </c>
      <c r="G60" s="17">
        <v>0.0482</v>
      </c>
      <c r="H60" s="16">
        <v>5.0E-4</v>
      </c>
      <c r="I60" s="16">
        <v>0.0035</v>
      </c>
      <c r="J60" s="16">
        <v>4.0E-4</v>
      </c>
      <c r="K60" s="11" t="str">
        <f t="array" ref="K60">IF(C60="Corr", INDEX($D$1:$J$1, XMATCH(MAX(D60:J60), D60:J60)), "")</f>
        <v/>
      </c>
      <c r="L60" s="4" t="str">
        <f t="shared" si="1"/>
        <v/>
      </c>
      <c r="M60" s="11" t="str">
        <f t="shared" si="2"/>
        <v/>
      </c>
    </row>
    <row r="61" ht="14.25" customHeight="1">
      <c r="A61" s="11" t="s">
        <v>69</v>
      </c>
      <c r="B61" s="12" t="s">
        <v>70</v>
      </c>
      <c r="C61" s="11" t="s">
        <v>11</v>
      </c>
      <c r="D61" s="17">
        <v>35.0</v>
      </c>
      <c r="E61" s="17">
        <v>31.0</v>
      </c>
      <c r="F61" s="17">
        <v>32.0</v>
      </c>
      <c r="G61" s="17">
        <v>35.0</v>
      </c>
      <c r="H61" s="16">
        <v>35.0</v>
      </c>
      <c r="I61" s="16">
        <v>35.0</v>
      </c>
      <c r="J61" s="16">
        <v>35.0</v>
      </c>
      <c r="K61" s="11" t="str">
        <f t="array" ref="K61">IF(C61="Corr", INDEX($D$1:$J$1, XMATCH(MAX(D61:J61), D61:J61)), "")</f>
        <v/>
      </c>
      <c r="L61" s="4" t="str">
        <f t="shared" si="1"/>
        <v/>
      </c>
      <c r="M61" s="11" t="str">
        <f t="shared" si="2"/>
        <v/>
      </c>
    </row>
    <row r="62" ht="14.25" customHeight="1">
      <c r="A62" s="11" t="s">
        <v>71</v>
      </c>
      <c r="B62" s="12" t="s">
        <v>72</v>
      </c>
      <c r="C62" s="11" t="s">
        <v>9</v>
      </c>
      <c r="D62" s="20">
        <v>0.6317</v>
      </c>
      <c r="E62" s="15">
        <v>0.3706</v>
      </c>
      <c r="F62" s="15">
        <v>0.446</v>
      </c>
      <c r="G62" s="14">
        <v>0.2478</v>
      </c>
      <c r="H62" s="19">
        <v>0.6644</v>
      </c>
      <c r="I62" s="19">
        <v>0.6186</v>
      </c>
      <c r="J62" s="19">
        <v>0.7122</v>
      </c>
      <c r="K62" s="11" t="str">
        <f t="array" ref="K62">IF(C62="Corr", INDEX($D$1:$J$1, XMATCH(MAX(D62:J62), D62:J62)), "")</f>
        <v>rema_tot_irt</v>
      </c>
      <c r="L62" s="4" t="str">
        <f t="shared" si="1"/>
        <v>rema</v>
      </c>
      <c r="M62" s="11">
        <f t="shared" si="2"/>
        <v>1</v>
      </c>
    </row>
    <row r="63" ht="14.25" customHeight="1">
      <c r="A63" s="11" t="s">
        <v>71</v>
      </c>
      <c r="B63" s="12" t="s">
        <v>72</v>
      </c>
      <c r="C63" s="11" t="s">
        <v>10</v>
      </c>
      <c r="D63" s="17">
        <v>0.0</v>
      </c>
      <c r="E63" s="17">
        <v>0.0186</v>
      </c>
      <c r="F63" s="17">
        <v>0.0031</v>
      </c>
      <c r="G63" s="17">
        <v>0.1048</v>
      </c>
      <c r="H63" s="16">
        <v>0.0</v>
      </c>
      <c r="I63" s="16">
        <v>0.0</v>
      </c>
      <c r="J63" s="16">
        <v>0.0</v>
      </c>
      <c r="K63" s="11" t="str">
        <f t="array" ref="K63">IF(C63="Corr", INDEX($D$1:$J$1, XMATCH(MAX(D63:J63), D63:J63)), "")</f>
        <v/>
      </c>
      <c r="L63" s="4" t="str">
        <f t="shared" si="1"/>
        <v/>
      </c>
      <c r="M63" s="11" t="str">
        <f t="shared" si="2"/>
        <v/>
      </c>
    </row>
    <row r="64" ht="14.25" customHeight="1">
      <c r="A64" s="11" t="s">
        <v>71</v>
      </c>
      <c r="B64" s="12" t="s">
        <v>72</v>
      </c>
      <c r="C64" s="11" t="s">
        <v>11</v>
      </c>
      <c r="D64" s="17">
        <v>44.0</v>
      </c>
      <c r="E64" s="17">
        <v>40.0</v>
      </c>
      <c r="F64" s="17">
        <v>42.0</v>
      </c>
      <c r="G64" s="17">
        <v>44.0</v>
      </c>
      <c r="H64" s="16">
        <v>44.0</v>
      </c>
      <c r="I64" s="16">
        <v>44.0</v>
      </c>
      <c r="J64" s="16">
        <v>44.0</v>
      </c>
      <c r="K64" s="11" t="str">
        <f t="array" ref="K64">IF(C64="Corr", INDEX($D$1:$J$1, XMATCH(MAX(D64:J64), D64:J64)), "")</f>
        <v/>
      </c>
      <c r="L64" s="4" t="str">
        <f t="shared" si="1"/>
        <v/>
      </c>
      <c r="M64" s="11" t="str">
        <f t="shared" si="2"/>
        <v/>
      </c>
    </row>
    <row r="65" ht="14.25" customHeight="1">
      <c r="A65" s="11" t="s">
        <v>73</v>
      </c>
      <c r="B65" s="12" t="s">
        <v>74</v>
      </c>
      <c r="C65" s="11" t="s">
        <v>9</v>
      </c>
      <c r="D65" s="15">
        <v>0.2827</v>
      </c>
      <c r="E65" s="14">
        <v>0.2116</v>
      </c>
      <c r="F65" s="20">
        <v>0.5554</v>
      </c>
      <c r="G65" s="15">
        <v>0.2641</v>
      </c>
      <c r="H65" s="13">
        <v>0.4541</v>
      </c>
      <c r="I65" s="13">
        <v>0.385</v>
      </c>
      <c r="J65" s="13">
        <v>0.4807</v>
      </c>
      <c r="K65" s="11" t="str">
        <f t="array" ref="K65">IF(C65="Corr", INDEX($D$1:$J$1, XMATCH(MAX(D65:J65), D65:J65)), "")</f>
        <v>igdis_Which_One_Doesn't_Belong_score</v>
      </c>
      <c r="L65" s="4" t="str">
        <f t="shared" si="1"/>
        <v>rema</v>
      </c>
      <c r="M65" s="11" t="str">
        <f t="shared" si="2"/>
        <v/>
      </c>
    </row>
    <row r="66" ht="14.25" customHeight="1">
      <c r="A66" s="11" t="s">
        <v>73</v>
      </c>
      <c r="B66" s="12" t="s">
        <v>74</v>
      </c>
      <c r="C66" s="11" t="s">
        <v>10</v>
      </c>
      <c r="D66" s="17">
        <v>0.0444</v>
      </c>
      <c r="E66" s="17">
        <v>0.1401</v>
      </c>
      <c r="F66" s="17">
        <v>0.0</v>
      </c>
      <c r="G66" s="17">
        <v>0.0611</v>
      </c>
      <c r="H66" s="16">
        <v>8.0E-4</v>
      </c>
      <c r="I66" s="16">
        <v>0.0053</v>
      </c>
      <c r="J66" s="16">
        <v>4.0E-4</v>
      </c>
      <c r="K66" s="11" t="str">
        <f t="array" ref="K66">IF(C66="Corr", INDEX($D$1:$J$1, XMATCH(MAX(D66:J66), D66:J66)), "")</f>
        <v/>
      </c>
      <c r="L66" s="4" t="str">
        <f t="shared" si="1"/>
        <v/>
      </c>
      <c r="M66" s="11" t="str">
        <f t="shared" si="2"/>
        <v/>
      </c>
    </row>
    <row r="67" ht="14.25" customHeight="1">
      <c r="A67" s="11" t="s">
        <v>73</v>
      </c>
      <c r="B67" s="12" t="s">
        <v>74</v>
      </c>
      <c r="C67" s="11" t="s">
        <v>11</v>
      </c>
      <c r="D67" s="17">
        <v>51.0</v>
      </c>
      <c r="E67" s="17">
        <v>50.0</v>
      </c>
      <c r="F67" s="17">
        <v>50.0</v>
      </c>
      <c r="G67" s="17">
        <v>51.0</v>
      </c>
      <c r="H67" s="16">
        <v>51.0</v>
      </c>
      <c r="I67" s="16">
        <v>51.0</v>
      </c>
      <c r="J67" s="16">
        <v>51.0</v>
      </c>
      <c r="K67" s="11" t="str">
        <f t="array" ref="K67">IF(C67="Corr", INDEX($D$1:$J$1, XMATCH(MAX(D67:J67), D67:J67)), "")</f>
        <v/>
      </c>
      <c r="L67" s="4" t="str">
        <f t="shared" si="1"/>
        <v/>
      </c>
      <c r="M67" s="11" t="str">
        <f t="shared" si="2"/>
        <v/>
      </c>
    </row>
    <row r="68" ht="14.25" customHeight="1">
      <c r="A68" s="11" t="s">
        <v>75</v>
      </c>
      <c r="B68" s="12" t="s">
        <v>76</v>
      </c>
      <c r="C68" s="11" t="s">
        <v>9</v>
      </c>
      <c r="D68" s="15">
        <v>0.4341</v>
      </c>
      <c r="E68" s="15">
        <v>0.434</v>
      </c>
      <c r="F68" s="15">
        <v>0.4267</v>
      </c>
      <c r="G68" s="15">
        <v>0.4345</v>
      </c>
      <c r="H68" s="19">
        <v>0.6095</v>
      </c>
      <c r="I68" s="19">
        <v>0.5064</v>
      </c>
      <c r="J68" s="19">
        <v>0.5898</v>
      </c>
      <c r="K68" s="11" t="str">
        <f t="array" ref="K68">IF(C68="Corr", INDEX($D$1:$J$1, XMATCH(MAX(D68:J68), D68:J68)), "")</f>
        <v>rema_a_irt</v>
      </c>
      <c r="L68" s="4" t="str">
        <f t="shared" si="1"/>
        <v>rema</v>
      </c>
      <c r="M68" s="11">
        <f t="shared" si="2"/>
        <v>1</v>
      </c>
    </row>
    <row r="69" ht="14.25" customHeight="1">
      <c r="A69" s="11" t="s">
        <v>75</v>
      </c>
      <c r="B69" s="12" t="s">
        <v>76</v>
      </c>
      <c r="C69" s="11" t="s">
        <v>10</v>
      </c>
      <c r="D69" s="17">
        <v>0.0</v>
      </c>
      <c r="E69" s="17">
        <v>0.0</v>
      </c>
      <c r="F69" s="17">
        <v>0.0</v>
      </c>
      <c r="G69" s="17">
        <v>0.0</v>
      </c>
      <c r="H69" s="16">
        <v>0.0</v>
      </c>
      <c r="I69" s="16">
        <v>0.0</v>
      </c>
      <c r="J69" s="16">
        <v>0.0</v>
      </c>
      <c r="K69" s="11" t="str">
        <f t="array" ref="K69">IF(C69="Corr", INDEX($D$1:$J$1, XMATCH(MAX(D69:J69), D69:J69)), "")</f>
        <v/>
      </c>
      <c r="L69" s="4" t="str">
        <f t="shared" si="1"/>
        <v/>
      </c>
      <c r="M69" s="11" t="str">
        <f t="shared" si="2"/>
        <v/>
      </c>
    </row>
    <row r="70" ht="14.25" customHeight="1">
      <c r="A70" s="11" t="s">
        <v>75</v>
      </c>
      <c r="B70" s="12" t="s">
        <v>76</v>
      </c>
      <c r="C70" s="11" t="s">
        <v>11</v>
      </c>
      <c r="D70" s="17">
        <v>114.0</v>
      </c>
      <c r="E70" s="17">
        <v>108.0</v>
      </c>
      <c r="F70" s="17">
        <v>112.0</v>
      </c>
      <c r="G70" s="17">
        <v>115.0</v>
      </c>
      <c r="H70" s="16">
        <v>114.0</v>
      </c>
      <c r="I70" s="16">
        <v>115.0</v>
      </c>
      <c r="J70" s="16">
        <v>114.0</v>
      </c>
      <c r="K70" s="11" t="str">
        <f t="array" ref="K70">IF(C70="Corr", INDEX($D$1:$J$1, XMATCH(MAX(D70:J70), D70:J70)), "")</f>
        <v/>
      </c>
      <c r="L70" s="4" t="str">
        <f t="shared" si="1"/>
        <v/>
      </c>
      <c r="M70" s="11" t="str">
        <f t="shared" si="2"/>
        <v/>
      </c>
    </row>
    <row r="71" ht="14.25" customHeight="1">
      <c r="A71" s="11" t="s">
        <v>77</v>
      </c>
      <c r="B71" s="12" t="s">
        <v>78</v>
      </c>
      <c r="C71" s="11" t="s">
        <v>9</v>
      </c>
      <c r="D71" s="15">
        <v>0.3406</v>
      </c>
      <c r="E71" s="14">
        <v>0.1391</v>
      </c>
      <c r="F71" s="14">
        <v>0.2397</v>
      </c>
      <c r="G71" s="14">
        <v>0.046</v>
      </c>
      <c r="H71" s="13">
        <v>0.3134</v>
      </c>
      <c r="I71" s="13">
        <v>0.3345</v>
      </c>
      <c r="J71" s="13">
        <v>0.3368</v>
      </c>
      <c r="K71" s="11" t="str">
        <f t="array" ref="K71">IF(C71="Corr", INDEX($D$1:$J$1, XMATCH(MAX(D71:J71), D71:J71)), "")</f>
        <v>htks_score</v>
      </c>
      <c r="L71" s="4" t="str">
        <f t="shared" si="1"/>
        <v>rema</v>
      </c>
      <c r="M71" s="11" t="str">
        <f t="shared" si="2"/>
        <v/>
      </c>
    </row>
    <row r="72" ht="14.25" customHeight="1">
      <c r="A72" s="11" t="s">
        <v>77</v>
      </c>
      <c r="B72" s="12" t="s">
        <v>78</v>
      </c>
      <c r="C72" s="11" t="s">
        <v>10</v>
      </c>
      <c r="D72" s="17">
        <v>1.0E-4</v>
      </c>
      <c r="E72" s="17">
        <v>0.1417</v>
      </c>
      <c r="F72" s="17">
        <v>0.0099</v>
      </c>
      <c r="G72" s="17">
        <v>0.6162</v>
      </c>
      <c r="H72" s="16">
        <v>5.0E-4</v>
      </c>
      <c r="I72" s="16">
        <v>2.0E-4</v>
      </c>
      <c r="J72" s="16">
        <v>2.0E-4</v>
      </c>
      <c r="K72" s="11" t="str">
        <f t="array" ref="K72">IF(C72="Corr", INDEX($D$1:$J$1, XMATCH(MAX(D72:J72), D72:J72)), "")</f>
        <v/>
      </c>
      <c r="L72" s="4" t="str">
        <f t="shared" si="1"/>
        <v/>
      </c>
      <c r="M72" s="11" t="str">
        <f t="shared" si="2"/>
        <v/>
      </c>
    </row>
    <row r="73" ht="14.25" customHeight="1">
      <c r="A73" s="11" t="s">
        <v>77</v>
      </c>
      <c r="B73" s="12" t="s">
        <v>78</v>
      </c>
      <c r="C73" s="11" t="s">
        <v>11</v>
      </c>
      <c r="D73" s="17">
        <v>120.0</v>
      </c>
      <c r="E73" s="17">
        <v>113.0</v>
      </c>
      <c r="F73" s="17">
        <v>115.0</v>
      </c>
      <c r="G73" s="17">
        <v>121.0</v>
      </c>
      <c r="H73" s="16">
        <v>121.0</v>
      </c>
      <c r="I73" s="16">
        <v>121.0</v>
      </c>
      <c r="J73" s="16">
        <v>121.0</v>
      </c>
      <c r="K73" s="11" t="str">
        <f t="array" ref="K73">IF(C73="Corr", INDEX($D$1:$J$1, XMATCH(MAX(D73:J73), D73:J73)), "")</f>
        <v/>
      </c>
      <c r="L73" s="4" t="str">
        <f t="shared" si="1"/>
        <v/>
      </c>
      <c r="M73" s="11" t="str">
        <f t="shared" si="2"/>
        <v/>
      </c>
    </row>
    <row r="74" ht="14.25" customHeight="1">
      <c r="A74" s="11" t="s">
        <v>79</v>
      </c>
      <c r="B74" s="12" t="s">
        <v>80</v>
      </c>
      <c r="C74" s="11" t="s">
        <v>9</v>
      </c>
      <c r="D74" s="15">
        <v>0.426</v>
      </c>
      <c r="E74" s="15">
        <v>0.2548</v>
      </c>
      <c r="F74" s="15">
        <v>0.3722</v>
      </c>
      <c r="G74" s="14">
        <v>0.1984</v>
      </c>
      <c r="H74" s="13">
        <v>0.4855</v>
      </c>
      <c r="I74" s="13">
        <v>0.4409</v>
      </c>
      <c r="J74" s="19">
        <v>0.5015</v>
      </c>
      <c r="K74" s="11" t="str">
        <f t="array" ref="K74">IF(C74="Corr", INDEX($D$1:$J$1, XMATCH(MAX(D74:J74), D74:J74)), "")</f>
        <v>rema_tot_irt</v>
      </c>
      <c r="L74" s="4" t="str">
        <f t="shared" si="1"/>
        <v>rema</v>
      </c>
      <c r="M74" s="11">
        <f t="shared" si="2"/>
        <v>1</v>
      </c>
    </row>
    <row r="75" ht="14.25" customHeight="1">
      <c r="A75" s="11" t="s">
        <v>79</v>
      </c>
      <c r="B75" s="12" t="s">
        <v>80</v>
      </c>
      <c r="C75" s="11" t="s">
        <v>10</v>
      </c>
      <c r="D75" s="17">
        <v>0.0</v>
      </c>
      <c r="E75" s="17">
        <v>0.0058</v>
      </c>
      <c r="F75" s="17">
        <v>0.0</v>
      </c>
      <c r="G75" s="17">
        <v>0.0278</v>
      </c>
      <c r="H75" s="16">
        <v>0.0</v>
      </c>
      <c r="I75" s="16">
        <v>0.0</v>
      </c>
      <c r="J75" s="16">
        <v>0.0</v>
      </c>
      <c r="K75" s="11" t="str">
        <f t="array" ref="K75">IF(C75="Corr", INDEX($D$1:$J$1, XMATCH(MAX(D75:J75), D75:J75)), "")</f>
        <v/>
      </c>
      <c r="L75" s="4" t="str">
        <f t="shared" si="1"/>
        <v/>
      </c>
      <c r="M75" s="11" t="str">
        <f t="shared" si="2"/>
        <v/>
      </c>
    </row>
    <row r="76" ht="14.25" customHeight="1">
      <c r="A76" s="11" t="s">
        <v>79</v>
      </c>
      <c r="B76" s="12" t="s">
        <v>80</v>
      </c>
      <c r="C76" s="11" t="s">
        <v>11</v>
      </c>
      <c r="D76" s="17">
        <v>122.0</v>
      </c>
      <c r="E76" s="17">
        <v>116.0</v>
      </c>
      <c r="F76" s="17">
        <v>118.0</v>
      </c>
      <c r="G76" s="17">
        <v>123.0</v>
      </c>
      <c r="H76" s="16">
        <v>123.0</v>
      </c>
      <c r="I76" s="16">
        <v>123.0</v>
      </c>
      <c r="J76" s="16">
        <v>123.0</v>
      </c>
      <c r="K76" s="11" t="str">
        <f t="array" ref="K76">IF(C76="Corr", INDEX($D$1:$J$1, XMATCH(MAX(D76:J76), D76:J76)), "")</f>
        <v/>
      </c>
      <c r="L76" s="4" t="str">
        <f t="shared" si="1"/>
        <v/>
      </c>
      <c r="M76" s="11" t="str">
        <f t="shared" si="2"/>
        <v/>
      </c>
    </row>
    <row r="77" ht="14.25" customHeight="1">
      <c r="A77" s="11" t="s">
        <v>81</v>
      </c>
      <c r="B77" s="12" t="s">
        <v>82</v>
      </c>
      <c r="C77" s="11" t="s">
        <v>9</v>
      </c>
      <c r="D77" s="15">
        <v>0.4245</v>
      </c>
      <c r="E77" s="15">
        <v>0.2803</v>
      </c>
      <c r="F77" s="15">
        <v>0.381</v>
      </c>
      <c r="G77" s="14">
        <v>0.2362</v>
      </c>
      <c r="H77" s="13">
        <v>0.4005</v>
      </c>
      <c r="I77" s="13">
        <v>0.4344</v>
      </c>
      <c r="J77" s="13">
        <v>0.4561</v>
      </c>
      <c r="K77" s="11" t="str">
        <f t="array" ref="K77">IF(C77="Corr", INDEX($D$1:$J$1, XMATCH(MAX(D77:J77), D77:J77)), "")</f>
        <v>rema_tot_irt</v>
      </c>
      <c r="L77" s="4" t="str">
        <f t="shared" si="1"/>
        <v>rema</v>
      </c>
      <c r="M77" s="11">
        <f t="shared" si="2"/>
        <v>1</v>
      </c>
    </row>
    <row r="78" ht="14.25" customHeight="1">
      <c r="A78" s="11" t="s">
        <v>81</v>
      </c>
      <c r="B78" s="12" t="s">
        <v>82</v>
      </c>
      <c r="C78" s="11" t="s">
        <v>10</v>
      </c>
      <c r="D78" s="17">
        <v>0.0</v>
      </c>
      <c r="E78" s="17">
        <v>0.0024</v>
      </c>
      <c r="F78" s="17">
        <v>0.0</v>
      </c>
      <c r="G78" s="17">
        <v>0.0085</v>
      </c>
      <c r="H78" s="16">
        <v>0.0</v>
      </c>
      <c r="I78" s="16">
        <v>0.0</v>
      </c>
      <c r="J78" s="16">
        <v>0.0</v>
      </c>
      <c r="K78" s="11" t="str">
        <f t="array" ref="K78">IF(C78="Corr", INDEX($D$1:$J$1, XMATCH(MAX(D78:J78), D78:J78)), "")</f>
        <v/>
      </c>
      <c r="L78" s="4" t="str">
        <f t="shared" si="1"/>
        <v/>
      </c>
      <c r="M78" s="11" t="str">
        <f t="shared" si="2"/>
        <v/>
      </c>
    </row>
    <row r="79" ht="14.25" customHeight="1">
      <c r="A79" s="11" t="s">
        <v>81</v>
      </c>
      <c r="B79" s="12" t="s">
        <v>82</v>
      </c>
      <c r="C79" s="11" t="s">
        <v>11</v>
      </c>
      <c r="D79" s="17">
        <v>122.0</v>
      </c>
      <c r="E79" s="17">
        <v>115.0</v>
      </c>
      <c r="F79" s="17">
        <v>118.0</v>
      </c>
      <c r="G79" s="17">
        <v>123.0</v>
      </c>
      <c r="H79" s="16">
        <v>123.0</v>
      </c>
      <c r="I79" s="16">
        <v>123.0</v>
      </c>
      <c r="J79" s="16">
        <v>123.0</v>
      </c>
      <c r="K79" s="11" t="str">
        <f t="array" ref="K79">IF(C79="Corr", INDEX($D$1:$J$1, XMATCH(MAX(D79:J79), D79:J79)), "")</f>
        <v/>
      </c>
      <c r="L79" s="4" t="str">
        <f t="shared" si="1"/>
        <v/>
      </c>
      <c r="M79" s="11" t="str">
        <f t="shared" si="2"/>
        <v/>
      </c>
    </row>
    <row r="80" ht="14.25" customHeight="1">
      <c r="A80" s="11" t="s">
        <v>83</v>
      </c>
      <c r="B80" s="12" t="s">
        <v>84</v>
      </c>
      <c r="C80" s="11" t="s">
        <v>9</v>
      </c>
      <c r="D80" s="15">
        <v>0.3452</v>
      </c>
      <c r="E80" s="15">
        <v>0.2622</v>
      </c>
      <c r="F80" s="15">
        <v>0.2748</v>
      </c>
      <c r="G80" s="15">
        <v>0.4382</v>
      </c>
      <c r="H80" s="13">
        <v>0.446</v>
      </c>
      <c r="I80" s="13">
        <v>0.2637</v>
      </c>
      <c r="J80" s="13">
        <v>0.3336</v>
      </c>
      <c r="K80" s="11" t="str">
        <f t="array" ref="K80">IF(C80="Corr", INDEX($D$1:$J$1, XMATCH(MAX(D80:J80), D80:J80)), "")</f>
        <v>rema_a_irt</v>
      </c>
      <c r="L80" s="4" t="str">
        <f t="shared" si="1"/>
        <v>rema</v>
      </c>
      <c r="M80" s="11">
        <f t="shared" si="2"/>
        <v>1</v>
      </c>
    </row>
    <row r="81" ht="14.25" customHeight="1">
      <c r="A81" s="11" t="s">
        <v>83</v>
      </c>
      <c r="B81" s="12" t="s">
        <v>84</v>
      </c>
      <c r="C81" s="11" t="s">
        <v>10</v>
      </c>
      <c r="D81" s="17">
        <v>1.0E-4</v>
      </c>
      <c r="E81" s="17">
        <v>0.0041</v>
      </c>
      <c r="F81" s="17">
        <v>0.0026</v>
      </c>
      <c r="G81" s="17">
        <v>0.0</v>
      </c>
      <c r="H81" s="16">
        <v>0.0</v>
      </c>
      <c r="I81" s="16">
        <v>0.003</v>
      </c>
      <c r="J81" s="16">
        <v>2.0E-4</v>
      </c>
      <c r="K81" s="11" t="str">
        <f t="array" ref="K81">IF(C81="Corr", INDEX($D$1:$J$1, XMATCH(MAX(D81:J81), D81:J81)), "")</f>
        <v/>
      </c>
      <c r="L81" s="4" t="str">
        <f t="shared" si="1"/>
        <v/>
      </c>
      <c r="M81" s="11" t="str">
        <f t="shared" si="2"/>
        <v/>
      </c>
    </row>
    <row r="82" ht="14.25" customHeight="1">
      <c r="A82" s="11" t="s">
        <v>83</v>
      </c>
      <c r="B82" s="12" t="s">
        <v>84</v>
      </c>
      <c r="C82" s="11" t="s">
        <v>11</v>
      </c>
      <c r="D82" s="17">
        <v>124.0</v>
      </c>
      <c r="E82" s="17">
        <v>118.0</v>
      </c>
      <c r="F82" s="17">
        <v>118.0</v>
      </c>
      <c r="G82" s="17">
        <v>125.0</v>
      </c>
      <c r="H82" s="16">
        <v>124.0</v>
      </c>
      <c r="I82" s="16">
        <v>125.0</v>
      </c>
      <c r="J82" s="16">
        <v>124.0</v>
      </c>
      <c r="K82" s="11" t="str">
        <f t="array" ref="K82">IF(C82="Corr", INDEX($D$1:$J$1, XMATCH(MAX(D82:J82), D82:J82)), "")</f>
        <v/>
      </c>
      <c r="L82" s="4" t="str">
        <f t="shared" si="1"/>
        <v/>
      </c>
      <c r="M82" s="11" t="str">
        <f t="shared" si="2"/>
        <v/>
      </c>
    </row>
    <row r="83" ht="14.25" customHeight="1">
      <c r="L83" s="4" t="str">
        <f>IF(AND(LEFT(A83,3)="ATL",C83="Corr"),"htks",
IF(AND(LEFT(A83,3)="LAN",C83="Corr"),"igdis",
IF(AND(LEFT(A82,3)="LIT",C82="Corr"),"topel",
IF(AND(LEFT(A83,3)="MAT",C83="Corr"),"rema",""))))</f>
        <v/>
      </c>
      <c r="M83" s="11">
        <f>SUM(M2:M82)</f>
        <v>11</v>
      </c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0.14"/>
    <col customWidth="1" min="3" max="3" width="5.29"/>
    <col customWidth="1" min="4" max="4" width="10.43"/>
    <col customWidth="1" min="5" max="5" width="18.86"/>
    <col customWidth="1" min="6" max="6" width="30.14"/>
    <col customWidth="1" min="7" max="7" width="10.57"/>
    <col customWidth="1" min="8" max="8" width="10.71"/>
    <col customWidth="1" min="9" max="9" width="12.14"/>
    <col customWidth="1" min="10" max="10" width="30.43"/>
    <col customWidth="1" min="11" max="26" width="11.43"/>
  </cols>
  <sheetData>
    <row r="1" ht="14.25" customHeight="1">
      <c r="A1" s="10" t="s">
        <v>85</v>
      </c>
      <c r="B1" s="10" t="s">
        <v>3</v>
      </c>
      <c r="C1" s="10" t="s">
        <v>4</v>
      </c>
      <c r="D1" s="10" t="s">
        <v>86</v>
      </c>
      <c r="E1" s="10" t="s">
        <v>96</v>
      </c>
      <c r="F1" s="10" t="s">
        <v>97</v>
      </c>
      <c r="G1" s="10" t="s">
        <v>90</v>
      </c>
      <c r="H1" s="10" t="s">
        <v>91</v>
      </c>
      <c r="I1" s="10" t="s">
        <v>92</v>
      </c>
      <c r="J1" s="11" t="s">
        <v>93</v>
      </c>
      <c r="K1" s="11" t="s">
        <v>98</v>
      </c>
      <c r="L1" s="11" t="s">
        <v>95</v>
      </c>
    </row>
    <row r="2" ht="14.25" customHeight="1">
      <c r="A2" s="11" t="s">
        <v>7</v>
      </c>
      <c r="B2" s="12" t="s">
        <v>8</v>
      </c>
      <c r="C2" s="11" t="s">
        <v>9</v>
      </c>
      <c r="D2" s="13">
        <v>0.4298</v>
      </c>
      <c r="E2" s="14">
        <v>0.1901</v>
      </c>
      <c r="F2" s="15">
        <v>0.3642</v>
      </c>
      <c r="G2" s="20">
        <v>0.6798</v>
      </c>
      <c r="H2" s="14">
        <v>0.1652</v>
      </c>
      <c r="I2" s="15">
        <v>0.4651</v>
      </c>
      <c r="J2" s="11" t="str">
        <f t="array" ref="J2">IF(C2="Corr", INDEX($D$1:$J$1, XMATCH(MAX(D2:I2), D2:I2)), "")</f>
        <v>rema_a_irt</v>
      </c>
      <c r="K2" s="11" t="str">
        <f t="shared" ref="K2:K79" si="1">IF(AND(LEFT(A2, 3) = "ATL", C2 = "Corr"), "htks",
 IF(AND(LEFT(A2, 3) = "LAN", C2 = "Corr"), "igdis",
 IF(AND(LEFT(A2, 3) = "MAT", C2 = "Corr"), "rema", "")))</f>
        <v>htks</v>
      </c>
      <c r="L2" s="11" t="str">
        <f t="shared" ref="L2:L79" si="2">IF(AND(LEFT(J2, 4) = LEFT(K2, 4), C2 = "Corr"), 1, "")</f>
        <v/>
      </c>
    </row>
    <row r="3" ht="14.25" customHeight="1">
      <c r="A3" s="11" t="s">
        <v>7</v>
      </c>
      <c r="B3" s="12" t="s">
        <v>8</v>
      </c>
      <c r="C3" s="11" t="s">
        <v>10</v>
      </c>
      <c r="D3" s="16">
        <v>0.0966</v>
      </c>
      <c r="E3" s="17">
        <v>0.4807</v>
      </c>
      <c r="F3" s="17">
        <v>0.182</v>
      </c>
      <c r="G3" s="17">
        <v>0.0038</v>
      </c>
      <c r="H3" s="17">
        <v>0.5409</v>
      </c>
      <c r="I3" s="17">
        <v>0.0695</v>
      </c>
      <c r="J3" s="11" t="str">
        <f t="array" ref="J3">IF(C3="Corr", INDEX($D$1:$J$1, XMATCH(MAX(D3:I3), D3:I3)), "")</f>
        <v/>
      </c>
      <c r="K3" s="11" t="str">
        <f t="shared" si="1"/>
        <v/>
      </c>
      <c r="L3" s="11" t="str">
        <f t="shared" si="2"/>
        <v/>
      </c>
    </row>
    <row r="4" ht="14.25" customHeight="1">
      <c r="A4" s="11" t="s">
        <v>7</v>
      </c>
      <c r="B4" s="12" t="s">
        <v>8</v>
      </c>
      <c r="C4" s="11" t="s">
        <v>11</v>
      </c>
      <c r="D4" s="16">
        <v>16.0</v>
      </c>
      <c r="E4" s="17">
        <v>16.0</v>
      </c>
      <c r="F4" s="17">
        <v>15.0</v>
      </c>
      <c r="G4" s="17">
        <v>16.0</v>
      </c>
      <c r="H4" s="17">
        <v>16.0</v>
      </c>
      <c r="I4" s="17">
        <v>16.0</v>
      </c>
      <c r="J4" s="11" t="str">
        <f t="array" ref="J4">IF(C4="Corr", INDEX($D$1:$J$1, XMATCH(MAX(D4:I4), D4:I4)), "")</f>
        <v/>
      </c>
      <c r="K4" s="11" t="str">
        <f t="shared" si="1"/>
        <v/>
      </c>
      <c r="L4" s="11" t="str">
        <f t="shared" si="2"/>
        <v/>
      </c>
    </row>
    <row r="5" ht="14.25" customHeight="1">
      <c r="A5" s="11" t="s">
        <v>12</v>
      </c>
      <c r="B5" s="12" t="s">
        <v>13</v>
      </c>
      <c r="C5" s="11" t="s">
        <v>9</v>
      </c>
      <c r="D5" s="13">
        <v>0.4145</v>
      </c>
      <c r="E5" s="14">
        <v>0.1655</v>
      </c>
      <c r="F5" s="14">
        <v>0.0785</v>
      </c>
      <c r="G5" s="15">
        <v>0.4202</v>
      </c>
      <c r="H5" s="14">
        <v>0.0321</v>
      </c>
      <c r="I5" s="14">
        <v>0.2047</v>
      </c>
      <c r="J5" s="11" t="str">
        <f t="array" ref="J5">IF(C5="Corr", INDEX($D$1:$J$1, XMATCH(MAX(D5:I5), D5:I5)), "")</f>
        <v>rema_a_irt</v>
      </c>
      <c r="K5" s="11" t="str">
        <f t="shared" si="1"/>
        <v>htks</v>
      </c>
      <c r="L5" s="11" t="str">
        <f t="shared" si="2"/>
        <v/>
      </c>
    </row>
    <row r="6" ht="14.25" customHeight="1">
      <c r="A6" s="11" t="s">
        <v>12</v>
      </c>
      <c r="B6" s="12" t="s">
        <v>13</v>
      </c>
      <c r="C6" s="11" t="s">
        <v>10</v>
      </c>
      <c r="D6" s="16">
        <v>0.0228</v>
      </c>
      <c r="E6" s="17">
        <v>0.3737</v>
      </c>
      <c r="F6" s="17">
        <v>0.6856</v>
      </c>
      <c r="G6" s="17">
        <v>0.0208</v>
      </c>
      <c r="H6" s="17">
        <v>0.8639</v>
      </c>
      <c r="I6" s="17">
        <v>0.2779</v>
      </c>
      <c r="J6" s="11" t="str">
        <f t="array" ref="J6">IF(C6="Corr", INDEX($D$1:$J$1, XMATCH(MAX(D6:I6), D6:I6)), "")</f>
        <v/>
      </c>
      <c r="K6" s="11" t="str">
        <f t="shared" si="1"/>
        <v/>
      </c>
      <c r="L6" s="11" t="str">
        <f t="shared" si="2"/>
        <v/>
      </c>
    </row>
    <row r="7" ht="14.25" customHeight="1">
      <c r="A7" s="11" t="s">
        <v>12</v>
      </c>
      <c r="B7" s="12" t="s">
        <v>13</v>
      </c>
      <c r="C7" s="11" t="s">
        <v>11</v>
      </c>
      <c r="D7" s="16">
        <v>30.0</v>
      </c>
      <c r="E7" s="17">
        <v>31.0</v>
      </c>
      <c r="F7" s="17">
        <v>29.0</v>
      </c>
      <c r="G7" s="17">
        <v>30.0</v>
      </c>
      <c r="H7" s="17">
        <v>31.0</v>
      </c>
      <c r="I7" s="17">
        <v>30.0</v>
      </c>
      <c r="J7" s="11" t="str">
        <f t="array" ref="J7">IF(C7="Corr", INDEX($D$1:$J$1, XMATCH(MAX(D7:I7), D7:I7)), "")</f>
        <v/>
      </c>
      <c r="K7" s="11" t="str">
        <f t="shared" si="1"/>
        <v/>
      </c>
      <c r="L7" s="11" t="str">
        <f t="shared" si="2"/>
        <v/>
      </c>
    </row>
    <row r="8" ht="14.25" customHeight="1">
      <c r="A8" s="11" t="s">
        <v>14</v>
      </c>
      <c r="B8" s="12" t="s">
        <v>15</v>
      </c>
      <c r="C8" s="11" t="s">
        <v>9</v>
      </c>
      <c r="D8" s="13">
        <v>0.4921</v>
      </c>
      <c r="E8" s="15">
        <v>0.372</v>
      </c>
      <c r="F8" s="15">
        <v>0.4385</v>
      </c>
      <c r="G8" s="21">
        <v>0.7755</v>
      </c>
      <c r="H8" s="15">
        <v>0.3058</v>
      </c>
      <c r="I8" s="20">
        <v>0.5975</v>
      </c>
      <c r="J8" s="11" t="str">
        <f t="array" ref="J8">IF(C8="Corr", INDEX($D$1:$J$1, XMATCH(MAX(D8:I8), D8:I8)), "")</f>
        <v>rema_a_irt</v>
      </c>
      <c r="K8" s="11" t="str">
        <f t="shared" si="1"/>
        <v>htks</v>
      </c>
      <c r="L8" s="11" t="str">
        <f t="shared" si="2"/>
        <v/>
      </c>
    </row>
    <row r="9" ht="14.25" customHeight="1">
      <c r="A9" s="11" t="s">
        <v>14</v>
      </c>
      <c r="B9" s="12" t="s">
        <v>15</v>
      </c>
      <c r="C9" s="11" t="s">
        <v>10</v>
      </c>
      <c r="D9" s="16">
        <v>0.0078</v>
      </c>
      <c r="E9" s="17">
        <v>0.0469</v>
      </c>
      <c r="F9" s="17">
        <v>0.0221</v>
      </c>
      <c r="G9" s="17">
        <v>0.0</v>
      </c>
      <c r="H9" s="17">
        <v>0.1067</v>
      </c>
      <c r="I9" s="17">
        <v>8.0E-4</v>
      </c>
      <c r="J9" s="11" t="str">
        <f t="array" ref="J9">IF(C9="Corr", INDEX($D$1:$J$1, XMATCH(MAX(D9:I9), D9:I9)), "")</f>
        <v/>
      </c>
      <c r="K9" s="11" t="str">
        <f t="shared" si="1"/>
        <v/>
      </c>
      <c r="L9" s="11" t="str">
        <f t="shared" si="2"/>
        <v/>
      </c>
    </row>
    <row r="10" ht="14.25" customHeight="1">
      <c r="A10" s="11" t="s">
        <v>14</v>
      </c>
      <c r="B10" s="12" t="s">
        <v>15</v>
      </c>
      <c r="C10" s="11" t="s">
        <v>11</v>
      </c>
      <c r="D10" s="16">
        <v>28.0</v>
      </c>
      <c r="E10" s="17">
        <v>29.0</v>
      </c>
      <c r="F10" s="17">
        <v>27.0</v>
      </c>
      <c r="G10" s="17">
        <v>28.0</v>
      </c>
      <c r="H10" s="17">
        <v>29.0</v>
      </c>
      <c r="I10" s="17">
        <v>28.0</v>
      </c>
      <c r="J10" s="11" t="str">
        <f t="array" ref="J10">IF(C10="Corr", INDEX($D$1:$J$1, XMATCH(MAX(D10:I10), D10:I10)), "")</f>
        <v/>
      </c>
      <c r="K10" s="11" t="str">
        <f t="shared" si="1"/>
        <v/>
      </c>
      <c r="L10" s="11" t="str">
        <f t="shared" si="2"/>
        <v/>
      </c>
    </row>
    <row r="11" ht="14.25" customHeight="1">
      <c r="A11" s="11" t="s">
        <v>16</v>
      </c>
      <c r="B11" s="12" t="s">
        <v>17</v>
      </c>
      <c r="C11" s="11" t="s">
        <v>9</v>
      </c>
      <c r="D11" s="13">
        <v>0.2771</v>
      </c>
      <c r="E11" s="14">
        <v>-0.013</v>
      </c>
      <c r="F11" s="14">
        <v>0.043</v>
      </c>
      <c r="G11" s="15">
        <v>0.2915</v>
      </c>
      <c r="H11" s="15">
        <v>0.3278</v>
      </c>
      <c r="I11" s="15">
        <v>0.3511</v>
      </c>
      <c r="J11" s="11" t="str">
        <f t="array" ref="J11">IF(C11="Corr", INDEX($D$1:$J$1, XMATCH(MAX(D11:I11), D11:I11)), "")</f>
        <v>rema_tot_irt</v>
      </c>
      <c r="K11" s="11" t="str">
        <f t="shared" si="1"/>
        <v>htks</v>
      </c>
      <c r="L11" s="11" t="str">
        <f t="shared" si="2"/>
        <v/>
      </c>
    </row>
    <row r="12" ht="14.25" customHeight="1">
      <c r="A12" s="11" t="s">
        <v>16</v>
      </c>
      <c r="B12" s="12" t="s">
        <v>17</v>
      </c>
      <c r="C12" s="11" t="s">
        <v>10</v>
      </c>
      <c r="D12" s="16">
        <v>0.1457</v>
      </c>
      <c r="E12" s="17">
        <v>0.9455</v>
      </c>
      <c r="F12" s="17">
        <v>0.828</v>
      </c>
      <c r="G12" s="17">
        <v>0.125</v>
      </c>
      <c r="H12" s="17">
        <v>0.077</v>
      </c>
      <c r="I12" s="17">
        <v>0.0618</v>
      </c>
      <c r="J12" s="11" t="str">
        <f t="array" ref="J12">IF(C12="Corr", INDEX($D$1:$J$1, XMATCH(MAX(D12:I12), D12:I12)), "")</f>
        <v/>
      </c>
      <c r="K12" s="11" t="str">
        <f t="shared" si="1"/>
        <v/>
      </c>
      <c r="L12" s="11" t="str">
        <f t="shared" si="2"/>
        <v/>
      </c>
    </row>
    <row r="13" ht="14.25" customHeight="1">
      <c r="A13" s="11" t="s">
        <v>16</v>
      </c>
      <c r="B13" s="12" t="s">
        <v>17</v>
      </c>
      <c r="C13" s="11" t="s">
        <v>11</v>
      </c>
      <c r="D13" s="16">
        <v>29.0</v>
      </c>
      <c r="E13" s="17">
        <v>30.0</v>
      </c>
      <c r="F13" s="17">
        <v>28.0</v>
      </c>
      <c r="G13" s="17">
        <v>29.0</v>
      </c>
      <c r="H13" s="17">
        <v>30.0</v>
      </c>
      <c r="I13" s="17">
        <v>29.0</v>
      </c>
      <c r="J13" s="11" t="str">
        <f t="array" ref="J13">IF(C13="Corr", INDEX($D$1:$J$1, XMATCH(MAX(D13:I13), D13:I13)), "")</f>
        <v/>
      </c>
      <c r="K13" s="11" t="str">
        <f t="shared" si="1"/>
        <v/>
      </c>
      <c r="L13" s="11" t="str">
        <f t="shared" si="2"/>
        <v/>
      </c>
    </row>
    <row r="14" ht="14.25" customHeight="1">
      <c r="A14" s="11" t="s">
        <v>28</v>
      </c>
      <c r="B14" s="12" t="s">
        <v>29</v>
      </c>
      <c r="C14" s="11" t="s">
        <v>9</v>
      </c>
      <c r="D14" s="15">
        <v>0.3883</v>
      </c>
      <c r="E14" s="13">
        <v>0.4056</v>
      </c>
      <c r="F14" s="18">
        <v>0.1824</v>
      </c>
      <c r="G14" s="20">
        <v>0.6096</v>
      </c>
      <c r="H14" s="14">
        <v>0.1448</v>
      </c>
      <c r="I14" s="15">
        <v>0.3774</v>
      </c>
      <c r="J14" s="11" t="str">
        <f t="array" ref="J14">IF(C14="Corr", INDEX($D$1:$J$1, XMATCH(MAX(D14:I14), D14:I14)), "")</f>
        <v>rema_a_irt</v>
      </c>
      <c r="K14" s="11" t="str">
        <f t="shared" si="1"/>
        <v>igdis</v>
      </c>
      <c r="L14" s="11" t="str">
        <f t="shared" si="2"/>
        <v/>
      </c>
    </row>
    <row r="15" ht="14.25" customHeight="1">
      <c r="A15" s="11" t="s">
        <v>28</v>
      </c>
      <c r="B15" s="12" t="s">
        <v>29</v>
      </c>
      <c r="C15" s="11" t="s">
        <v>10</v>
      </c>
      <c r="D15" s="17">
        <v>0.0412</v>
      </c>
      <c r="E15" s="16">
        <v>0.0291</v>
      </c>
      <c r="F15" s="16">
        <v>0.3625</v>
      </c>
      <c r="G15" s="17">
        <v>6.0E-4</v>
      </c>
      <c r="H15" s="17">
        <v>0.4537</v>
      </c>
      <c r="I15" s="17">
        <v>0.0477</v>
      </c>
      <c r="J15" s="11" t="str">
        <f t="array" ref="J15">IF(C15="Corr", INDEX($D$1:$J$1, XMATCH(MAX(D15:I15), D15:I15)), "")</f>
        <v/>
      </c>
      <c r="K15" s="11" t="str">
        <f t="shared" si="1"/>
        <v/>
      </c>
      <c r="L15" s="11" t="str">
        <f t="shared" si="2"/>
        <v/>
      </c>
    </row>
    <row r="16" ht="14.25" customHeight="1">
      <c r="A16" s="11" t="s">
        <v>28</v>
      </c>
      <c r="B16" s="12" t="s">
        <v>29</v>
      </c>
      <c r="C16" s="11" t="s">
        <v>11</v>
      </c>
      <c r="D16" s="17">
        <v>28.0</v>
      </c>
      <c r="E16" s="16">
        <v>29.0</v>
      </c>
      <c r="F16" s="16">
        <v>27.0</v>
      </c>
      <c r="G16" s="17">
        <v>28.0</v>
      </c>
      <c r="H16" s="17">
        <v>29.0</v>
      </c>
      <c r="I16" s="17">
        <v>28.0</v>
      </c>
      <c r="J16" s="11" t="str">
        <f t="array" ref="J16">IF(C16="Corr", INDEX($D$1:$J$1, XMATCH(MAX(D16:I16), D16:I16)), "")</f>
        <v/>
      </c>
      <c r="K16" s="11" t="str">
        <f t="shared" si="1"/>
        <v/>
      </c>
      <c r="L16" s="11" t="str">
        <f t="shared" si="2"/>
        <v/>
      </c>
    </row>
    <row r="17" ht="14.25" customHeight="1">
      <c r="A17" s="11" t="s">
        <v>30</v>
      </c>
      <c r="B17" s="12" t="s">
        <v>31</v>
      </c>
      <c r="C17" s="11" t="s">
        <v>9</v>
      </c>
      <c r="D17" s="14">
        <v>0.2489</v>
      </c>
      <c r="E17" s="13">
        <v>0.4845</v>
      </c>
      <c r="F17" s="13">
        <v>0.3253</v>
      </c>
      <c r="G17" s="20">
        <v>0.5675</v>
      </c>
      <c r="H17" s="15">
        <v>0.3566</v>
      </c>
      <c r="I17" s="15">
        <v>0.4869</v>
      </c>
      <c r="J17" s="11" t="str">
        <f t="array" ref="J17">IF(C17="Corr", INDEX($D$1:$J$1, XMATCH(MAX(D17:I17), D17:I17)), "")</f>
        <v>rema_a_irt</v>
      </c>
      <c r="K17" s="11" t="str">
        <f t="shared" si="1"/>
        <v>igdis</v>
      </c>
      <c r="L17" s="11" t="str">
        <f t="shared" si="2"/>
        <v/>
      </c>
    </row>
    <row r="18" ht="14.25" customHeight="1">
      <c r="A18" s="11" t="s">
        <v>30</v>
      </c>
      <c r="B18" s="12" t="s">
        <v>31</v>
      </c>
      <c r="C18" s="11" t="s">
        <v>10</v>
      </c>
      <c r="D18" s="17">
        <v>0.1929</v>
      </c>
      <c r="E18" s="16">
        <v>0.0067</v>
      </c>
      <c r="F18" s="16">
        <v>0.0912</v>
      </c>
      <c r="G18" s="17">
        <v>0.0013</v>
      </c>
      <c r="H18" s="17">
        <v>0.0531</v>
      </c>
      <c r="I18" s="17">
        <v>0.0074</v>
      </c>
      <c r="J18" s="11" t="str">
        <f t="array" ref="J18">IF(C18="Corr", INDEX($D$1:$J$1, XMATCH(MAX(D18:I18), D18:I18)), "")</f>
        <v/>
      </c>
      <c r="K18" s="11" t="str">
        <f t="shared" si="1"/>
        <v/>
      </c>
      <c r="L18" s="11" t="str">
        <f t="shared" si="2"/>
        <v/>
      </c>
    </row>
    <row r="19" ht="14.25" customHeight="1">
      <c r="A19" s="11" t="s">
        <v>30</v>
      </c>
      <c r="B19" s="12" t="s">
        <v>31</v>
      </c>
      <c r="C19" s="11" t="s">
        <v>11</v>
      </c>
      <c r="D19" s="17">
        <v>29.0</v>
      </c>
      <c r="E19" s="16">
        <v>30.0</v>
      </c>
      <c r="F19" s="16">
        <v>28.0</v>
      </c>
      <c r="G19" s="17">
        <v>29.0</v>
      </c>
      <c r="H19" s="17">
        <v>30.0</v>
      </c>
      <c r="I19" s="17">
        <v>29.0</v>
      </c>
      <c r="J19" s="11" t="str">
        <f t="array" ref="J19">IF(C19="Corr", INDEX($D$1:$J$1, XMATCH(MAX(D19:I19), D19:I19)), "")</f>
        <v/>
      </c>
      <c r="K19" s="11" t="str">
        <f t="shared" si="1"/>
        <v/>
      </c>
      <c r="L19" s="11" t="str">
        <f t="shared" si="2"/>
        <v/>
      </c>
    </row>
    <row r="20" ht="14.25" customHeight="1">
      <c r="A20" s="11" t="s">
        <v>32</v>
      </c>
      <c r="B20" s="12" t="s">
        <v>33</v>
      </c>
      <c r="C20" s="11" t="s">
        <v>9</v>
      </c>
      <c r="D20" s="20">
        <v>0.5207</v>
      </c>
      <c r="E20" s="13">
        <v>0.3356</v>
      </c>
      <c r="F20" s="13">
        <v>0.2801</v>
      </c>
      <c r="G20" s="20">
        <v>0.5981</v>
      </c>
      <c r="H20" s="20">
        <v>0.5264</v>
      </c>
      <c r="I20" s="20">
        <v>0.6594</v>
      </c>
      <c r="J20" s="11" t="str">
        <f t="array" ref="J20">IF(C20="Corr", INDEX($D$1:$J$1, XMATCH(MAX(D20:I20), D20:I20)), "")</f>
        <v>rema_tot_irt</v>
      </c>
      <c r="K20" s="11" t="str">
        <f t="shared" si="1"/>
        <v>igdis</v>
      </c>
      <c r="L20" s="11" t="str">
        <f t="shared" si="2"/>
        <v/>
      </c>
    </row>
    <row r="21" ht="14.25" customHeight="1">
      <c r="A21" s="11" t="s">
        <v>32</v>
      </c>
      <c r="B21" s="12" t="s">
        <v>33</v>
      </c>
      <c r="C21" s="11" t="s">
        <v>10</v>
      </c>
      <c r="D21" s="17">
        <v>0.0038</v>
      </c>
      <c r="E21" s="16">
        <v>0.0698</v>
      </c>
      <c r="F21" s="16">
        <v>0.1488</v>
      </c>
      <c r="G21" s="17">
        <v>6.0E-4</v>
      </c>
      <c r="H21" s="17">
        <v>0.0028</v>
      </c>
      <c r="I21" s="17">
        <v>1.0E-4</v>
      </c>
      <c r="J21" s="11" t="str">
        <f t="array" ref="J21">IF(C21="Corr", INDEX($D$1:$J$1, XMATCH(MAX(D21:I21), D21:I21)), "")</f>
        <v/>
      </c>
      <c r="K21" s="11" t="str">
        <f t="shared" si="1"/>
        <v/>
      </c>
      <c r="L21" s="11" t="str">
        <f t="shared" si="2"/>
        <v/>
      </c>
    </row>
    <row r="22" ht="14.25" customHeight="1">
      <c r="A22" s="11" t="s">
        <v>32</v>
      </c>
      <c r="B22" s="12" t="s">
        <v>33</v>
      </c>
      <c r="C22" s="11" t="s">
        <v>11</v>
      </c>
      <c r="D22" s="17">
        <v>29.0</v>
      </c>
      <c r="E22" s="16">
        <v>30.0</v>
      </c>
      <c r="F22" s="16">
        <v>28.0</v>
      </c>
      <c r="G22" s="17">
        <v>29.0</v>
      </c>
      <c r="H22" s="17">
        <v>30.0</v>
      </c>
      <c r="I22" s="17">
        <v>29.0</v>
      </c>
      <c r="J22" s="11" t="str">
        <f t="array" ref="J22">IF(C22="Corr", INDEX($D$1:$J$1, XMATCH(MAX(D22:I22), D22:I22)), "")</f>
        <v/>
      </c>
      <c r="K22" s="11" t="str">
        <f t="shared" si="1"/>
        <v/>
      </c>
      <c r="L22" s="11" t="str">
        <f t="shared" si="2"/>
        <v/>
      </c>
    </row>
    <row r="23" ht="14.25" customHeight="1">
      <c r="A23" s="11" t="s">
        <v>37</v>
      </c>
      <c r="B23" s="12" t="s">
        <v>38</v>
      </c>
      <c r="C23" s="11" t="s">
        <v>9</v>
      </c>
      <c r="D23" s="15">
        <v>0.344</v>
      </c>
      <c r="E23" s="14">
        <v>-0.0672</v>
      </c>
      <c r="F23" s="14">
        <v>0.0263</v>
      </c>
      <c r="G23" s="20">
        <v>0.5919</v>
      </c>
      <c r="H23" s="15">
        <v>0.3537</v>
      </c>
      <c r="I23" s="15">
        <v>0.4949</v>
      </c>
      <c r="J23" s="11" t="str">
        <f t="array" ref="J23">IF(C23="Corr", INDEX($D$1:$J$1, XMATCH(MAX(D23:I23), D23:I23)), "")</f>
        <v>rema_a_irt</v>
      </c>
      <c r="K23" s="11" t="str">
        <f t="shared" si="1"/>
        <v/>
      </c>
      <c r="L23" s="11" t="str">
        <f t="shared" si="2"/>
        <v/>
      </c>
    </row>
    <row r="24" ht="14.25" customHeight="1">
      <c r="A24" s="11" t="s">
        <v>37</v>
      </c>
      <c r="B24" s="12" t="s">
        <v>38</v>
      </c>
      <c r="C24" s="11" t="s">
        <v>10</v>
      </c>
      <c r="D24" s="17">
        <v>0.0539</v>
      </c>
      <c r="E24" s="17">
        <v>0.7101</v>
      </c>
      <c r="F24" s="17">
        <v>0.8884</v>
      </c>
      <c r="G24" s="17">
        <v>4.0E-4</v>
      </c>
      <c r="H24" s="17">
        <v>0.0435</v>
      </c>
      <c r="I24" s="17">
        <v>0.004</v>
      </c>
      <c r="J24" s="11" t="str">
        <f t="array" ref="J24">IF(C24="Corr", INDEX($D$1:$J$1, XMATCH(MAX(D24:I24), D24:I24)), "")</f>
        <v/>
      </c>
      <c r="K24" s="11" t="str">
        <f t="shared" si="1"/>
        <v/>
      </c>
      <c r="L24" s="11" t="str">
        <f t="shared" si="2"/>
        <v/>
      </c>
    </row>
    <row r="25" ht="14.25" customHeight="1">
      <c r="A25" s="11" t="s">
        <v>37</v>
      </c>
      <c r="B25" s="12" t="s">
        <v>38</v>
      </c>
      <c r="C25" s="11" t="s">
        <v>11</v>
      </c>
      <c r="D25" s="17">
        <v>32.0</v>
      </c>
      <c r="E25" s="17">
        <v>33.0</v>
      </c>
      <c r="F25" s="17">
        <v>31.0</v>
      </c>
      <c r="G25" s="17">
        <v>32.0</v>
      </c>
      <c r="H25" s="17">
        <v>33.0</v>
      </c>
      <c r="I25" s="17">
        <v>32.0</v>
      </c>
      <c r="J25" s="11" t="str">
        <f t="array" ref="J25">IF(C25="Corr", INDEX($D$1:$J$1, XMATCH(MAX(D25:I25), D25:I25)), "")</f>
        <v/>
      </c>
      <c r="K25" s="11" t="str">
        <f t="shared" si="1"/>
        <v/>
      </c>
      <c r="L25" s="11" t="str">
        <f t="shared" si="2"/>
        <v/>
      </c>
    </row>
    <row r="26" ht="14.25" customHeight="1">
      <c r="A26" s="11" t="s">
        <v>39</v>
      </c>
      <c r="B26" s="12" t="s">
        <v>40</v>
      </c>
      <c r="C26" s="11" t="s">
        <v>9</v>
      </c>
      <c r="D26" s="15">
        <v>0.2728</v>
      </c>
      <c r="E26" s="14">
        <v>0.0874</v>
      </c>
      <c r="F26" s="15">
        <v>0.3161</v>
      </c>
      <c r="G26" s="15">
        <v>0.3843</v>
      </c>
      <c r="H26" s="15">
        <v>0.3902</v>
      </c>
      <c r="I26" s="15">
        <v>0.4359</v>
      </c>
      <c r="J26" s="11" t="str">
        <f t="array" ref="J26">IF(C26="Corr", INDEX($D$1:$J$1, XMATCH(MAX(D26:I26), D26:I26)), "")</f>
        <v>rema_tot_irt</v>
      </c>
      <c r="K26" s="11" t="str">
        <f t="shared" si="1"/>
        <v/>
      </c>
      <c r="L26" s="11" t="str">
        <f t="shared" si="2"/>
        <v/>
      </c>
    </row>
    <row r="27" ht="14.25" customHeight="1">
      <c r="A27" s="11" t="s">
        <v>39</v>
      </c>
      <c r="B27" s="12" t="s">
        <v>40</v>
      </c>
      <c r="C27" s="11" t="s">
        <v>10</v>
      </c>
      <c r="D27" s="17">
        <v>0.1375</v>
      </c>
      <c r="E27" s="17">
        <v>0.6345</v>
      </c>
      <c r="F27" s="17">
        <v>0.0888</v>
      </c>
      <c r="G27" s="17">
        <v>0.0328</v>
      </c>
      <c r="H27" s="17">
        <v>0.0272</v>
      </c>
      <c r="I27" s="17">
        <v>0.0142</v>
      </c>
      <c r="J27" s="11" t="str">
        <f t="array" ref="J27">IF(C27="Corr", INDEX($D$1:$J$1, XMATCH(MAX(D27:I27), D27:I27)), "")</f>
        <v/>
      </c>
      <c r="K27" s="11" t="str">
        <f t="shared" si="1"/>
        <v/>
      </c>
      <c r="L27" s="11" t="str">
        <f t="shared" si="2"/>
        <v/>
      </c>
    </row>
    <row r="28" ht="14.25" customHeight="1">
      <c r="A28" s="11" t="s">
        <v>39</v>
      </c>
      <c r="B28" s="12" t="s">
        <v>40</v>
      </c>
      <c r="C28" s="11" t="s">
        <v>11</v>
      </c>
      <c r="D28" s="17">
        <v>31.0</v>
      </c>
      <c r="E28" s="17">
        <v>32.0</v>
      </c>
      <c r="F28" s="17">
        <v>30.0</v>
      </c>
      <c r="G28" s="17">
        <v>31.0</v>
      </c>
      <c r="H28" s="17">
        <v>32.0</v>
      </c>
      <c r="I28" s="17">
        <v>31.0</v>
      </c>
      <c r="J28" s="11" t="str">
        <f t="array" ref="J28">IF(C28="Corr", INDEX($D$1:$J$1, XMATCH(MAX(D28:I28), D28:I28)), "")</f>
        <v/>
      </c>
      <c r="K28" s="11" t="str">
        <f t="shared" si="1"/>
        <v/>
      </c>
      <c r="L28" s="11" t="str">
        <f t="shared" si="2"/>
        <v/>
      </c>
    </row>
    <row r="29" ht="14.25" customHeight="1">
      <c r="A29" s="11" t="s">
        <v>41</v>
      </c>
      <c r="B29" s="12" t="s">
        <v>42</v>
      </c>
      <c r="C29" s="11" t="s">
        <v>9</v>
      </c>
      <c r="D29" s="14">
        <v>0.0276</v>
      </c>
      <c r="E29" s="14">
        <v>0.1947</v>
      </c>
      <c r="F29" s="14">
        <v>0.1181</v>
      </c>
      <c r="G29" s="15">
        <v>0.438</v>
      </c>
      <c r="H29" s="15">
        <v>0.4471</v>
      </c>
      <c r="I29" s="15">
        <v>0.4481</v>
      </c>
      <c r="J29" s="11" t="str">
        <f t="array" ref="J29">IF(C29="Corr", INDEX($D$1:$J$1, XMATCH(MAX(D29:I29), D29:I29)), "")</f>
        <v>rema_tot_irt</v>
      </c>
      <c r="K29" s="11" t="str">
        <f t="shared" si="1"/>
        <v/>
      </c>
      <c r="L29" s="11" t="str">
        <f t="shared" si="2"/>
        <v/>
      </c>
    </row>
    <row r="30" ht="14.25" customHeight="1">
      <c r="A30" s="11" t="s">
        <v>41</v>
      </c>
      <c r="B30" s="12" t="s">
        <v>42</v>
      </c>
      <c r="C30" s="11" t="s">
        <v>10</v>
      </c>
      <c r="D30" s="17">
        <v>0.9134</v>
      </c>
      <c r="E30" s="17">
        <v>0.4388</v>
      </c>
      <c r="F30" s="17">
        <v>0.6632</v>
      </c>
      <c r="G30" s="17">
        <v>0.0691</v>
      </c>
      <c r="H30" s="17">
        <v>0.0628</v>
      </c>
      <c r="I30" s="17">
        <v>0.0622</v>
      </c>
      <c r="J30" s="11" t="str">
        <f t="array" ref="J30">IF(C30="Corr", INDEX($D$1:$J$1, XMATCH(MAX(D30:I30), D30:I30)), "")</f>
        <v/>
      </c>
      <c r="K30" s="11" t="str">
        <f t="shared" si="1"/>
        <v/>
      </c>
      <c r="L30" s="11" t="str">
        <f t="shared" si="2"/>
        <v/>
      </c>
    </row>
    <row r="31" ht="14.25" customHeight="1">
      <c r="A31" s="11" t="s">
        <v>41</v>
      </c>
      <c r="B31" s="12" t="s">
        <v>42</v>
      </c>
      <c r="C31" s="11" t="s">
        <v>11</v>
      </c>
      <c r="D31" s="17">
        <v>18.0</v>
      </c>
      <c r="E31" s="17">
        <v>18.0</v>
      </c>
      <c r="F31" s="17">
        <v>16.0</v>
      </c>
      <c r="G31" s="17">
        <v>18.0</v>
      </c>
      <c r="H31" s="17">
        <v>18.0</v>
      </c>
      <c r="I31" s="17">
        <v>18.0</v>
      </c>
      <c r="J31" s="11" t="str">
        <f t="array" ref="J31">IF(C31="Corr", INDEX($D$1:$J$1, XMATCH(MAX(D31:I31), D31:I31)), "")</f>
        <v/>
      </c>
      <c r="K31" s="11" t="str">
        <f t="shared" si="1"/>
        <v/>
      </c>
      <c r="L31" s="11" t="str">
        <f t="shared" si="2"/>
        <v/>
      </c>
    </row>
    <row r="32" ht="14.25" customHeight="1">
      <c r="A32" s="11" t="s">
        <v>43</v>
      </c>
      <c r="B32" s="12" t="s">
        <v>44</v>
      </c>
      <c r="C32" s="11" t="s">
        <v>9</v>
      </c>
      <c r="D32" s="20">
        <v>0.5459</v>
      </c>
      <c r="E32" s="15">
        <v>0.2688</v>
      </c>
      <c r="F32" s="15">
        <v>0.4175</v>
      </c>
      <c r="G32" s="20">
        <v>0.7271</v>
      </c>
      <c r="H32" s="15">
        <v>0.3688</v>
      </c>
      <c r="I32" s="20">
        <v>0.5555</v>
      </c>
      <c r="J32" s="11" t="str">
        <f t="array" ref="J32">IF(C32="Corr", INDEX($D$1:$J$1, XMATCH(MAX(D32:I32), D32:I32)), "")</f>
        <v>rema_a_irt</v>
      </c>
      <c r="K32" s="11" t="str">
        <f t="shared" si="1"/>
        <v/>
      </c>
      <c r="L32" s="11" t="str">
        <f t="shared" si="2"/>
        <v/>
      </c>
    </row>
    <row r="33" ht="14.25" customHeight="1">
      <c r="A33" s="11" t="s">
        <v>43</v>
      </c>
      <c r="B33" s="12" t="s">
        <v>44</v>
      </c>
      <c r="C33" s="11" t="s">
        <v>10</v>
      </c>
      <c r="D33" s="17">
        <v>0.0086</v>
      </c>
      <c r="E33" s="17">
        <v>0.2264</v>
      </c>
      <c r="F33" s="17">
        <v>0.067</v>
      </c>
      <c r="G33" s="17">
        <v>1.0E-4</v>
      </c>
      <c r="H33" s="17">
        <v>0.0912</v>
      </c>
      <c r="I33" s="17">
        <v>0.0073</v>
      </c>
      <c r="J33" s="11" t="str">
        <f t="array" ref="J33">IF(C33="Corr", INDEX($D$1:$J$1, XMATCH(MAX(D33:I33), D33:I33)), "")</f>
        <v/>
      </c>
      <c r="K33" s="11" t="str">
        <f t="shared" si="1"/>
        <v/>
      </c>
      <c r="L33" s="11" t="str">
        <f t="shared" si="2"/>
        <v/>
      </c>
    </row>
    <row r="34" ht="14.25" customHeight="1">
      <c r="A34" s="11" t="s">
        <v>43</v>
      </c>
      <c r="B34" s="12" t="s">
        <v>44</v>
      </c>
      <c r="C34" s="11" t="s">
        <v>11</v>
      </c>
      <c r="D34" s="17">
        <v>22.0</v>
      </c>
      <c r="E34" s="17">
        <v>22.0</v>
      </c>
      <c r="F34" s="17">
        <v>20.0</v>
      </c>
      <c r="G34" s="17">
        <v>22.0</v>
      </c>
      <c r="H34" s="17">
        <v>22.0</v>
      </c>
      <c r="I34" s="17">
        <v>22.0</v>
      </c>
      <c r="J34" s="11" t="str">
        <f t="array" ref="J34">IF(C34="Corr", INDEX($D$1:$J$1, XMATCH(MAX(D34:I34), D34:I34)), "")</f>
        <v/>
      </c>
      <c r="K34" s="11" t="str">
        <f t="shared" si="1"/>
        <v/>
      </c>
      <c r="L34" s="11" t="str">
        <f t="shared" si="2"/>
        <v/>
      </c>
    </row>
    <row r="35" ht="14.25" customHeight="1">
      <c r="A35" s="11" t="s">
        <v>45</v>
      </c>
      <c r="B35" s="12" t="s">
        <v>46</v>
      </c>
      <c r="C35" s="11" t="s">
        <v>9</v>
      </c>
      <c r="D35" s="15">
        <v>0.4769</v>
      </c>
      <c r="E35" s="15">
        <v>0.4841</v>
      </c>
      <c r="F35" s="15">
        <v>0.4906</v>
      </c>
      <c r="G35" s="20">
        <v>0.6987</v>
      </c>
      <c r="H35" s="14">
        <v>0.242</v>
      </c>
      <c r="I35" s="15">
        <v>0.4475</v>
      </c>
      <c r="J35" s="11" t="str">
        <f t="array" ref="J35">IF(C35="Corr", INDEX($D$1:$J$1, XMATCH(MAX(D35:I35), D35:I35)), "")</f>
        <v>rema_a_irt</v>
      </c>
      <c r="K35" s="11" t="str">
        <f t="shared" si="1"/>
        <v/>
      </c>
      <c r="L35" s="11" t="str">
        <f t="shared" si="2"/>
        <v/>
      </c>
    </row>
    <row r="36" ht="14.25" customHeight="1">
      <c r="A36" s="11" t="s">
        <v>45</v>
      </c>
      <c r="B36" s="12" t="s">
        <v>46</v>
      </c>
      <c r="C36" s="11" t="s">
        <v>10</v>
      </c>
      <c r="D36" s="17">
        <v>0.0058</v>
      </c>
      <c r="E36" s="17">
        <v>0.0043</v>
      </c>
      <c r="F36" s="17">
        <v>0.0051</v>
      </c>
      <c r="G36" s="17">
        <v>0.0</v>
      </c>
      <c r="H36" s="17">
        <v>0.1748</v>
      </c>
      <c r="I36" s="17">
        <v>0.0102</v>
      </c>
      <c r="J36" s="11" t="str">
        <f t="array" ref="J36">IF(C36="Corr", INDEX($D$1:$J$1, XMATCH(MAX(D36:I36), D36:I36)), "")</f>
        <v/>
      </c>
      <c r="K36" s="11" t="str">
        <f t="shared" si="1"/>
        <v/>
      </c>
      <c r="L36" s="11" t="str">
        <f t="shared" si="2"/>
        <v/>
      </c>
    </row>
    <row r="37" ht="14.25" customHeight="1">
      <c r="A37" s="11" t="s">
        <v>45</v>
      </c>
      <c r="B37" s="12" t="s">
        <v>46</v>
      </c>
      <c r="C37" s="11" t="s">
        <v>11</v>
      </c>
      <c r="D37" s="17">
        <v>32.0</v>
      </c>
      <c r="E37" s="17">
        <v>33.0</v>
      </c>
      <c r="F37" s="17">
        <v>31.0</v>
      </c>
      <c r="G37" s="17">
        <v>32.0</v>
      </c>
      <c r="H37" s="17">
        <v>33.0</v>
      </c>
      <c r="I37" s="17">
        <v>32.0</v>
      </c>
      <c r="J37" s="11" t="str">
        <f t="array" ref="J37">IF(C37="Corr", INDEX($D$1:$J$1, XMATCH(MAX(D37:I37), D37:I37)), "")</f>
        <v/>
      </c>
      <c r="K37" s="11" t="str">
        <f t="shared" si="1"/>
        <v/>
      </c>
      <c r="L37" s="11" t="str">
        <f t="shared" si="2"/>
        <v/>
      </c>
    </row>
    <row r="38" ht="14.25" customHeight="1">
      <c r="A38" s="11" t="s">
        <v>47</v>
      </c>
      <c r="B38" s="12" t="s">
        <v>48</v>
      </c>
      <c r="C38" s="11" t="s">
        <v>9</v>
      </c>
      <c r="D38" s="15">
        <v>0.4347</v>
      </c>
      <c r="E38" s="15">
        <v>0.3269</v>
      </c>
      <c r="F38" s="14">
        <v>0.1636</v>
      </c>
      <c r="G38" s="20">
        <v>0.6751</v>
      </c>
      <c r="H38" s="15">
        <v>0.2791</v>
      </c>
      <c r="I38" s="15">
        <v>0.4541</v>
      </c>
      <c r="J38" s="11" t="str">
        <f t="array" ref="J38">IF(C38="Corr", INDEX($D$1:$J$1, XMATCH(MAX(D38:I38), D38:I38)), "")</f>
        <v>rema_a_irt</v>
      </c>
      <c r="K38" s="11" t="str">
        <f t="shared" si="1"/>
        <v/>
      </c>
      <c r="L38" s="11" t="str">
        <f t="shared" si="2"/>
        <v/>
      </c>
    </row>
    <row r="39" ht="14.25" customHeight="1">
      <c r="A39" s="11" t="s">
        <v>47</v>
      </c>
      <c r="B39" s="12" t="s">
        <v>48</v>
      </c>
      <c r="C39" s="11" t="s">
        <v>10</v>
      </c>
      <c r="D39" s="17">
        <v>0.0102</v>
      </c>
      <c r="E39" s="17">
        <v>0.0552</v>
      </c>
      <c r="F39" s="17">
        <v>0.3629</v>
      </c>
      <c r="G39" s="17">
        <v>0.0</v>
      </c>
      <c r="H39" s="17">
        <v>0.1044</v>
      </c>
      <c r="I39" s="17">
        <v>0.007</v>
      </c>
      <c r="J39" s="11" t="str">
        <f t="array" ref="J39">IF(C39="Corr", INDEX($D$1:$J$1, XMATCH(MAX(D39:I39), D39:I39)), "")</f>
        <v/>
      </c>
      <c r="K39" s="11" t="str">
        <f t="shared" si="1"/>
        <v/>
      </c>
      <c r="L39" s="11" t="str">
        <f t="shared" si="2"/>
        <v/>
      </c>
    </row>
    <row r="40" ht="14.25" customHeight="1">
      <c r="A40" s="11" t="s">
        <v>47</v>
      </c>
      <c r="B40" s="12" t="s">
        <v>48</v>
      </c>
      <c r="C40" s="11" t="s">
        <v>11</v>
      </c>
      <c r="D40" s="17">
        <v>34.0</v>
      </c>
      <c r="E40" s="17">
        <v>35.0</v>
      </c>
      <c r="F40" s="17">
        <v>33.0</v>
      </c>
      <c r="G40" s="17">
        <v>34.0</v>
      </c>
      <c r="H40" s="17">
        <v>35.0</v>
      </c>
      <c r="I40" s="17">
        <v>34.0</v>
      </c>
      <c r="J40" s="11" t="str">
        <f t="array" ref="J40">IF(C40="Corr", INDEX($D$1:$J$1, XMATCH(MAX(D40:I40), D40:I40)), "")</f>
        <v/>
      </c>
      <c r="K40" s="11" t="str">
        <f t="shared" si="1"/>
        <v/>
      </c>
      <c r="L40" s="11" t="str">
        <f t="shared" si="2"/>
        <v/>
      </c>
    </row>
    <row r="41" ht="14.25" customHeight="1">
      <c r="A41" s="11" t="s">
        <v>99</v>
      </c>
      <c r="B41" s="12" t="s">
        <v>100</v>
      </c>
      <c r="C41" s="11" t="s">
        <v>9</v>
      </c>
      <c r="D41" s="15">
        <v>0.3931</v>
      </c>
      <c r="E41" s="15">
        <v>0.2955</v>
      </c>
      <c r="F41" s="15">
        <v>0.3352</v>
      </c>
      <c r="G41" s="20">
        <v>0.6119</v>
      </c>
      <c r="H41" s="15">
        <v>0.4088</v>
      </c>
      <c r="I41" s="20">
        <v>0.5084</v>
      </c>
      <c r="J41" s="11" t="str">
        <f t="array" ref="J41">IF(C41="Corr", INDEX($D$1:$J$1, XMATCH(MAX(D41:I41), D41:I41)), "")</f>
        <v>rema_a_irt</v>
      </c>
      <c r="K41" s="11" t="str">
        <f t="shared" si="1"/>
        <v/>
      </c>
      <c r="L41" s="11" t="str">
        <f t="shared" si="2"/>
        <v/>
      </c>
    </row>
    <row r="42" ht="14.25" customHeight="1">
      <c r="A42" s="11" t="s">
        <v>99</v>
      </c>
      <c r="B42" s="12" t="s">
        <v>100</v>
      </c>
      <c r="C42" s="11" t="s">
        <v>10</v>
      </c>
      <c r="D42" s="17">
        <v>0.0236</v>
      </c>
      <c r="E42" s="17">
        <v>0.0897</v>
      </c>
      <c r="F42" s="17">
        <v>0.0608</v>
      </c>
      <c r="G42" s="17">
        <v>2.0E-4</v>
      </c>
      <c r="H42" s="17">
        <v>0.0164</v>
      </c>
      <c r="I42" s="17">
        <v>0.0025</v>
      </c>
      <c r="J42" s="11" t="str">
        <f t="array" ref="J42">IF(C42="Corr", INDEX($D$1:$J$1, XMATCH(MAX(D42:I42), D42:I42)), "")</f>
        <v/>
      </c>
      <c r="K42" s="11" t="str">
        <f t="shared" si="1"/>
        <v/>
      </c>
      <c r="L42" s="11" t="str">
        <f t="shared" si="2"/>
        <v/>
      </c>
    </row>
    <row r="43" ht="14.25" customHeight="1">
      <c r="A43" s="11" t="s">
        <v>99</v>
      </c>
      <c r="B43" s="12" t="s">
        <v>100</v>
      </c>
      <c r="C43" s="11" t="s">
        <v>11</v>
      </c>
      <c r="D43" s="17">
        <v>33.0</v>
      </c>
      <c r="E43" s="17">
        <v>34.0</v>
      </c>
      <c r="F43" s="17">
        <v>32.0</v>
      </c>
      <c r="G43" s="17">
        <v>33.0</v>
      </c>
      <c r="H43" s="17">
        <v>34.0</v>
      </c>
      <c r="I43" s="17">
        <v>33.0</v>
      </c>
      <c r="J43" s="11" t="str">
        <f t="array" ref="J43">IF(C43="Corr", INDEX($D$1:$J$1, XMATCH(MAX(D43:I43), D43:I43)), "")</f>
        <v/>
      </c>
      <c r="K43" s="11" t="str">
        <f t="shared" si="1"/>
        <v/>
      </c>
      <c r="L43" s="11" t="str">
        <f t="shared" si="2"/>
        <v/>
      </c>
    </row>
    <row r="44" ht="14.25" customHeight="1">
      <c r="A44" s="11" t="s">
        <v>53</v>
      </c>
      <c r="B44" s="12" t="s">
        <v>54</v>
      </c>
      <c r="C44" s="11" t="s">
        <v>9</v>
      </c>
      <c r="D44" s="20">
        <v>0.5241</v>
      </c>
      <c r="E44" s="20">
        <v>0.5796</v>
      </c>
      <c r="F44" s="20">
        <v>0.6325</v>
      </c>
      <c r="G44" s="20">
        <v>0.6913</v>
      </c>
      <c r="H44" s="14">
        <v>0.2063</v>
      </c>
      <c r="I44" s="15">
        <v>0.4556</v>
      </c>
      <c r="J44" s="11" t="str">
        <f t="array" ref="J44">IF(C44="Corr", INDEX($D$1:$J$1, XMATCH(MAX(D44:I44), D44:I44)), "")</f>
        <v>rema_a_irt</v>
      </c>
      <c r="K44" s="11" t="str">
        <f t="shared" si="1"/>
        <v/>
      </c>
      <c r="L44" s="11" t="str">
        <f t="shared" si="2"/>
        <v/>
      </c>
    </row>
    <row r="45" ht="14.25" customHeight="1">
      <c r="A45" s="11" t="s">
        <v>53</v>
      </c>
      <c r="B45" s="12" t="s">
        <v>54</v>
      </c>
      <c r="C45" s="11" t="s">
        <v>10</v>
      </c>
      <c r="D45" s="17">
        <v>0.0123</v>
      </c>
      <c r="E45" s="17">
        <v>0.0047</v>
      </c>
      <c r="F45" s="17">
        <v>0.0028</v>
      </c>
      <c r="G45" s="17">
        <v>4.0E-4</v>
      </c>
      <c r="H45" s="17">
        <v>0.357</v>
      </c>
      <c r="I45" s="17">
        <v>0.0331</v>
      </c>
      <c r="J45" s="11" t="str">
        <f t="array" ref="J45">IF(C45="Corr", INDEX($D$1:$J$1, XMATCH(MAX(D45:I45), D45:I45)), "")</f>
        <v/>
      </c>
      <c r="K45" s="11" t="str">
        <f t="shared" si="1"/>
        <v/>
      </c>
      <c r="L45" s="11" t="str">
        <f t="shared" si="2"/>
        <v/>
      </c>
    </row>
    <row r="46" ht="14.25" customHeight="1">
      <c r="A46" s="11" t="s">
        <v>53</v>
      </c>
      <c r="B46" s="12" t="s">
        <v>54</v>
      </c>
      <c r="C46" s="11" t="s">
        <v>11</v>
      </c>
      <c r="D46" s="17">
        <v>22.0</v>
      </c>
      <c r="E46" s="17">
        <v>22.0</v>
      </c>
      <c r="F46" s="17">
        <v>20.0</v>
      </c>
      <c r="G46" s="17">
        <v>22.0</v>
      </c>
      <c r="H46" s="17">
        <v>22.0</v>
      </c>
      <c r="I46" s="17">
        <v>22.0</v>
      </c>
      <c r="J46" s="11" t="str">
        <f t="array" ref="J46">IF(C46="Corr", INDEX($D$1:$J$1, XMATCH(MAX(D46:I46), D46:I46)), "")</f>
        <v/>
      </c>
      <c r="K46" s="11" t="str">
        <f t="shared" si="1"/>
        <v/>
      </c>
      <c r="L46" s="11" t="str">
        <f t="shared" si="2"/>
        <v/>
      </c>
    </row>
    <row r="47" ht="14.25" customHeight="1">
      <c r="A47" s="11" t="s">
        <v>55</v>
      </c>
      <c r="B47" s="12" t="s">
        <v>56</v>
      </c>
      <c r="C47" s="11" t="s">
        <v>9</v>
      </c>
      <c r="D47" s="15">
        <v>0.4857</v>
      </c>
      <c r="E47" s="15">
        <v>0.3497</v>
      </c>
      <c r="F47" s="20">
        <v>0.7455</v>
      </c>
      <c r="G47" s="20">
        <v>0.6796</v>
      </c>
      <c r="H47" s="15">
        <v>0.3486</v>
      </c>
      <c r="I47" s="20">
        <v>0.5444</v>
      </c>
      <c r="J47" s="11" t="str">
        <f t="array" ref="J47">IF(C47="Corr", INDEX($D$1:$J$1, XMATCH(MAX(D47:I47), D47:I47)), "")</f>
        <v>igdis_Verbos_Expressivos_score</v>
      </c>
      <c r="K47" s="11" t="str">
        <f t="shared" si="1"/>
        <v/>
      </c>
      <c r="L47" s="11" t="str">
        <f t="shared" si="2"/>
        <v/>
      </c>
    </row>
    <row r="48" ht="14.25" customHeight="1">
      <c r="A48" s="11" t="s">
        <v>55</v>
      </c>
      <c r="B48" s="12" t="s">
        <v>56</v>
      </c>
      <c r="C48" s="11" t="s">
        <v>10</v>
      </c>
      <c r="D48" s="17">
        <v>0.0924</v>
      </c>
      <c r="E48" s="17">
        <v>0.2414</v>
      </c>
      <c r="F48" s="17">
        <v>0.0034</v>
      </c>
      <c r="G48" s="17">
        <v>0.0106</v>
      </c>
      <c r="H48" s="17">
        <v>0.2431</v>
      </c>
      <c r="I48" s="17">
        <v>0.0544</v>
      </c>
      <c r="J48" s="11" t="str">
        <f t="array" ref="J48">IF(C48="Corr", INDEX($D$1:$J$1, XMATCH(MAX(D48:I48), D48:I48)), "")</f>
        <v/>
      </c>
      <c r="K48" s="11" t="str">
        <f t="shared" si="1"/>
        <v/>
      </c>
      <c r="L48" s="11" t="str">
        <f t="shared" si="2"/>
        <v/>
      </c>
    </row>
    <row r="49" ht="14.25" customHeight="1">
      <c r="A49" s="11" t="s">
        <v>55</v>
      </c>
      <c r="B49" s="12" t="s">
        <v>56</v>
      </c>
      <c r="C49" s="11" t="s">
        <v>11</v>
      </c>
      <c r="D49" s="17">
        <v>13.0</v>
      </c>
      <c r="E49" s="17">
        <v>13.0</v>
      </c>
      <c r="F49" s="17">
        <v>13.0</v>
      </c>
      <c r="G49" s="17">
        <v>13.0</v>
      </c>
      <c r="H49" s="17">
        <v>13.0</v>
      </c>
      <c r="I49" s="17">
        <v>13.0</v>
      </c>
      <c r="J49" s="11" t="str">
        <f t="array" ref="J49">IF(C49="Corr", INDEX($D$1:$J$1, XMATCH(MAX(D49:I49), D49:I49)), "")</f>
        <v/>
      </c>
      <c r="K49" s="11" t="str">
        <f t="shared" si="1"/>
        <v/>
      </c>
      <c r="L49" s="11" t="str">
        <f t="shared" si="2"/>
        <v/>
      </c>
    </row>
    <row r="50" ht="14.25" customHeight="1">
      <c r="A50" s="11" t="s">
        <v>65</v>
      </c>
      <c r="B50" s="12" t="s">
        <v>66</v>
      </c>
      <c r="C50" s="11" t="s">
        <v>9</v>
      </c>
      <c r="D50" s="15">
        <v>0.3758</v>
      </c>
      <c r="E50" s="15">
        <v>0.3876</v>
      </c>
      <c r="F50" s="15">
        <v>0.3825</v>
      </c>
      <c r="G50" s="19">
        <v>0.6097</v>
      </c>
      <c r="H50" s="13">
        <v>0.3444</v>
      </c>
      <c r="I50" s="19">
        <v>0.5023</v>
      </c>
      <c r="J50" s="11" t="str">
        <f t="array" ref="J50">IF(C50="Corr", INDEX($D$1:$J$1, XMATCH(MAX(D50:I50), D50:I50)), "")</f>
        <v>rema_a_irt</v>
      </c>
      <c r="K50" s="11" t="str">
        <f t="shared" si="1"/>
        <v>rema</v>
      </c>
      <c r="L50" s="11">
        <f t="shared" si="2"/>
        <v>1</v>
      </c>
    </row>
    <row r="51" ht="14.25" customHeight="1">
      <c r="A51" s="11" t="s">
        <v>65</v>
      </c>
      <c r="B51" s="12" t="s">
        <v>66</v>
      </c>
      <c r="C51" s="11" t="s">
        <v>10</v>
      </c>
      <c r="D51" s="17">
        <v>0.0407</v>
      </c>
      <c r="E51" s="17">
        <v>0.0312</v>
      </c>
      <c r="F51" s="17">
        <v>0.0406</v>
      </c>
      <c r="G51" s="16">
        <v>3.0E-4</v>
      </c>
      <c r="H51" s="16">
        <v>0.0578</v>
      </c>
      <c r="I51" s="16">
        <v>0.0047</v>
      </c>
      <c r="J51" s="11" t="str">
        <f t="array" ref="J51">IF(C51="Corr", INDEX($D$1:$J$1, XMATCH(MAX(D51:I51), D51:I51)), "")</f>
        <v/>
      </c>
      <c r="K51" s="11" t="str">
        <f t="shared" si="1"/>
        <v/>
      </c>
      <c r="L51" s="11" t="str">
        <f t="shared" si="2"/>
        <v/>
      </c>
    </row>
    <row r="52" ht="14.25" customHeight="1">
      <c r="A52" s="11" t="s">
        <v>65</v>
      </c>
      <c r="B52" s="12" t="s">
        <v>66</v>
      </c>
      <c r="C52" s="11" t="s">
        <v>11</v>
      </c>
      <c r="D52" s="17">
        <v>30.0</v>
      </c>
      <c r="E52" s="17">
        <v>31.0</v>
      </c>
      <c r="F52" s="17">
        <v>29.0</v>
      </c>
      <c r="G52" s="16">
        <v>30.0</v>
      </c>
      <c r="H52" s="16">
        <v>31.0</v>
      </c>
      <c r="I52" s="16">
        <v>30.0</v>
      </c>
      <c r="J52" s="11" t="str">
        <f t="array" ref="J52">IF(C52="Corr", INDEX($D$1:$J$1, XMATCH(MAX(D52:I52), D52:I52)), "")</f>
        <v/>
      </c>
      <c r="K52" s="11" t="str">
        <f t="shared" si="1"/>
        <v/>
      </c>
      <c r="L52" s="11" t="str">
        <f t="shared" si="2"/>
        <v/>
      </c>
    </row>
    <row r="53" ht="14.25" customHeight="1">
      <c r="A53" s="11" t="s">
        <v>67</v>
      </c>
      <c r="B53" s="12" t="s">
        <v>68</v>
      </c>
      <c r="C53" s="11" t="s">
        <v>9</v>
      </c>
      <c r="D53" s="15">
        <v>0.443</v>
      </c>
      <c r="E53" s="15">
        <v>0.2952</v>
      </c>
      <c r="F53" s="14">
        <v>0.2089</v>
      </c>
      <c r="G53" s="19">
        <v>0.6256</v>
      </c>
      <c r="H53" s="13">
        <v>0.3374</v>
      </c>
      <c r="I53" s="13">
        <v>0.4694</v>
      </c>
      <c r="J53" s="11" t="str">
        <f t="array" ref="J53">IF(C53="Corr", INDEX($D$1:$J$1, XMATCH(MAX(D53:I53), D53:I53)), "")</f>
        <v>rema_a_irt</v>
      </c>
      <c r="K53" s="11" t="str">
        <f t="shared" si="1"/>
        <v>rema</v>
      </c>
      <c r="L53" s="11">
        <f t="shared" si="2"/>
        <v>1</v>
      </c>
    </row>
    <row r="54" ht="14.25" customHeight="1">
      <c r="A54" s="11" t="s">
        <v>67</v>
      </c>
      <c r="B54" s="12" t="s">
        <v>68</v>
      </c>
      <c r="C54" s="11" t="s">
        <v>10</v>
      </c>
      <c r="D54" s="17">
        <v>0.0234</v>
      </c>
      <c r="E54" s="17">
        <v>0.135</v>
      </c>
      <c r="F54" s="17">
        <v>0.3058</v>
      </c>
      <c r="G54" s="16">
        <v>6.0E-4</v>
      </c>
      <c r="H54" s="16">
        <v>0.0852</v>
      </c>
      <c r="I54" s="16">
        <v>0.0155</v>
      </c>
      <c r="J54" s="11" t="str">
        <f t="array" ref="J54">IF(C54="Corr", INDEX($D$1:$J$1, XMATCH(MAX(D54:I54), D54:I54)), "")</f>
        <v/>
      </c>
      <c r="K54" s="11" t="str">
        <f t="shared" si="1"/>
        <v/>
      </c>
      <c r="L54" s="11" t="str">
        <f t="shared" si="2"/>
        <v/>
      </c>
    </row>
    <row r="55" ht="14.25" customHeight="1">
      <c r="A55" s="11" t="s">
        <v>67</v>
      </c>
      <c r="B55" s="12" t="s">
        <v>68</v>
      </c>
      <c r="C55" s="11" t="s">
        <v>11</v>
      </c>
      <c r="D55" s="17">
        <v>26.0</v>
      </c>
      <c r="E55" s="17">
        <v>27.0</v>
      </c>
      <c r="F55" s="17">
        <v>26.0</v>
      </c>
      <c r="G55" s="16">
        <v>26.0</v>
      </c>
      <c r="H55" s="16">
        <v>27.0</v>
      </c>
      <c r="I55" s="16">
        <v>26.0</v>
      </c>
      <c r="J55" s="11" t="str">
        <f t="array" ref="J55">IF(C55="Corr", INDEX($D$1:$J$1, XMATCH(MAX(D55:I55), D55:I55)), "")</f>
        <v/>
      </c>
      <c r="K55" s="11" t="str">
        <f t="shared" si="1"/>
        <v/>
      </c>
      <c r="L55" s="11" t="str">
        <f t="shared" si="2"/>
        <v/>
      </c>
    </row>
    <row r="56" ht="14.25" customHeight="1">
      <c r="A56" s="11" t="s">
        <v>69</v>
      </c>
      <c r="B56" s="12" t="s">
        <v>70</v>
      </c>
      <c r="C56" s="11" t="s">
        <v>9</v>
      </c>
      <c r="D56" s="20">
        <v>0.5636</v>
      </c>
      <c r="E56" s="15">
        <v>0.3149</v>
      </c>
      <c r="F56" s="20">
        <v>0.6055</v>
      </c>
      <c r="G56" s="19">
        <v>0.7205</v>
      </c>
      <c r="H56" s="19">
        <v>0.5454</v>
      </c>
      <c r="I56" s="19">
        <v>0.7004</v>
      </c>
      <c r="J56" s="11" t="str">
        <f t="array" ref="J56">IF(C56="Corr", INDEX($D$1:$J$1, XMATCH(MAX(D56:I56), D56:I56)), "")</f>
        <v>rema_a_irt</v>
      </c>
      <c r="K56" s="11" t="str">
        <f t="shared" si="1"/>
        <v>rema</v>
      </c>
      <c r="L56" s="11">
        <f t="shared" si="2"/>
        <v>1</v>
      </c>
    </row>
    <row r="57" ht="14.25" customHeight="1">
      <c r="A57" s="11" t="s">
        <v>69</v>
      </c>
      <c r="B57" s="12" t="s">
        <v>70</v>
      </c>
      <c r="C57" s="11" t="s">
        <v>10</v>
      </c>
      <c r="D57" s="17">
        <v>0.0185</v>
      </c>
      <c r="E57" s="17">
        <v>0.2182</v>
      </c>
      <c r="F57" s="17">
        <v>0.0167</v>
      </c>
      <c r="G57" s="16">
        <v>0.0011</v>
      </c>
      <c r="H57" s="16">
        <v>0.0236</v>
      </c>
      <c r="I57" s="16">
        <v>0.0017</v>
      </c>
      <c r="J57" s="11" t="str">
        <f t="array" ref="J57">IF(C57="Corr", INDEX($D$1:$J$1, XMATCH(MAX(D57:I57), D57:I57)), "")</f>
        <v/>
      </c>
      <c r="K57" s="11" t="str">
        <f t="shared" si="1"/>
        <v/>
      </c>
      <c r="L57" s="11" t="str">
        <f t="shared" si="2"/>
        <v/>
      </c>
    </row>
    <row r="58" ht="14.25" customHeight="1">
      <c r="A58" s="11" t="s">
        <v>69</v>
      </c>
      <c r="B58" s="12" t="s">
        <v>70</v>
      </c>
      <c r="C58" s="11" t="s">
        <v>11</v>
      </c>
      <c r="D58" s="17">
        <v>17.0</v>
      </c>
      <c r="E58" s="17">
        <v>17.0</v>
      </c>
      <c r="F58" s="17">
        <v>15.0</v>
      </c>
      <c r="G58" s="16">
        <v>17.0</v>
      </c>
      <c r="H58" s="16">
        <v>17.0</v>
      </c>
      <c r="I58" s="16">
        <v>17.0</v>
      </c>
      <c r="J58" s="11" t="str">
        <f t="array" ref="J58">IF(C58="Corr", INDEX($D$1:$J$1, XMATCH(MAX(D58:I58), D58:I58)), "")</f>
        <v/>
      </c>
      <c r="K58" s="11" t="str">
        <f t="shared" si="1"/>
        <v/>
      </c>
      <c r="L58" s="11" t="str">
        <f t="shared" si="2"/>
        <v/>
      </c>
    </row>
    <row r="59" ht="14.25" customHeight="1">
      <c r="A59" s="11" t="s">
        <v>71</v>
      </c>
      <c r="B59" s="12" t="s">
        <v>72</v>
      </c>
      <c r="C59" s="11" t="s">
        <v>9</v>
      </c>
      <c r="D59" s="15">
        <v>0.4708</v>
      </c>
      <c r="E59" s="15">
        <v>0.3379</v>
      </c>
      <c r="F59" s="20">
        <v>0.5689</v>
      </c>
      <c r="G59" s="19">
        <v>0.6458</v>
      </c>
      <c r="H59" s="13">
        <v>0.4181</v>
      </c>
      <c r="I59" s="19">
        <v>0.5568</v>
      </c>
      <c r="J59" s="11" t="str">
        <f t="array" ref="J59">IF(C59="Corr", INDEX($D$1:$J$1, XMATCH(MAX(D59:I59), D59:I59)), "")</f>
        <v>rema_a_irt</v>
      </c>
      <c r="K59" s="11" t="str">
        <f t="shared" si="1"/>
        <v>rema</v>
      </c>
      <c r="L59" s="11">
        <f t="shared" si="2"/>
        <v>1</v>
      </c>
    </row>
    <row r="60" ht="14.25" customHeight="1">
      <c r="A60" s="11" t="s">
        <v>71</v>
      </c>
      <c r="B60" s="12" t="s">
        <v>72</v>
      </c>
      <c r="C60" s="11" t="s">
        <v>10</v>
      </c>
      <c r="D60" s="17">
        <v>0.0565</v>
      </c>
      <c r="E60" s="17">
        <v>0.1846</v>
      </c>
      <c r="F60" s="17">
        <v>0.0269</v>
      </c>
      <c r="G60" s="16">
        <v>0.0051</v>
      </c>
      <c r="H60" s="16">
        <v>0.0949</v>
      </c>
      <c r="I60" s="16">
        <v>0.0203</v>
      </c>
      <c r="J60" s="11" t="str">
        <f t="array" ref="J60">IF(C60="Corr", INDEX($D$1:$J$1, XMATCH(MAX(D60:I60), D60:I60)), "")</f>
        <v/>
      </c>
      <c r="K60" s="11" t="str">
        <f t="shared" si="1"/>
        <v/>
      </c>
      <c r="L60" s="11" t="str">
        <f t="shared" si="2"/>
        <v/>
      </c>
    </row>
    <row r="61" ht="14.25" customHeight="1">
      <c r="A61" s="11" t="s">
        <v>71</v>
      </c>
      <c r="B61" s="12" t="s">
        <v>72</v>
      </c>
      <c r="C61" s="11" t="s">
        <v>11</v>
      </c>
      <c r="D61" s="17">
        <v>17.0</v>
      </c>
      <c r="E61" s="17">
        <v>17.0</v>
      </c>
      <c r="F61" s="17">
        <v>15.0</v>
      </c>
      <c r="G61" s="16">
        <v>17.0</v>
      </c>
      <c r="H61" s="16">
        <v>17.0</v>
      </c>
      <c r="I61" s="16">
        <v>17.0</v>
      </c>
      <c r="J61" s="11" t="str">
        <f t="array" ref="J61">IF(C61="Corr", INDEX($D$1:$J$1, XMATCH(MAX(D61:I61), D61:I61)), "")</f>
        <v/>
      </c>
      <c r="K61" s="11" t="str">
        <f t="shared" si="1"/>
        <v/>
      </c>
      <c r="L61" s="11" t="str">
        <f t="shared" si="2"/>
        <v/>
      </c>
    </row>
    <row r="62" ht="14.25" customHeight="1">
      <c r="A62" s="11" t="s">
        <v>73</v>
      </c>
      <c r="B62" s="12" t="s">
        <v>74</v>
      </c>
      <c r="C62" s="11" t="s">
        <v>9</v>
      </c>
      <c r="D62" s="20">
        <v>0.5166</v>
      </c>
      <c r="E62" s="15">
        <v>0.4116</v>
      </c>
      <c r="F62" s="14">
        <v>0.1899</v>
      </c>
      <c r="G62" s="22">
        <v>0.7839</v>
      </c>
      <c r="H62" s="18">
        <v>0.2392</v>
      </c>
      <c r="I62" s="19">
        <v>0.5458</v>
      </c>
      <c r="J62" s="11" t="str">
        <f t="array" ref="J62">IF(C62="Corr", INDEX($D$1:$J$1, XMATCH(MAX(D62:I62), D62:I62)), "")</f>
        <v>rema_a_irt</v>
      </c>
      <c r="K62" s="11" t="str">
        <f t="shared" si="1"/>
        <v>rema</v>
      </c>
      <c r="L62" s="11">
        <f t="shared" si="2"/>
        <v>1</v>
      </c>
    </row>
    <row r="63" ht="14.25" customHeight="1">
      <c r="A63" s="11" t="s">
        <v>73</v>
      </c>
      <c r="B63" s="12" t="s">
        <v>74</v>
      </c>
      <c r="C63" s="11" t="s">
        <v>10</v>
      </c>
      <c r="D63" s="17">
        <v>0.0165</v>
      </c>
      <c r="E63" s="17">
        <v>0.0638</v>
      </c>
      <c r="F63" s="17">
        <v>0.4362</v>
      </c>
      <c r="G63" s="16">
        <v>0.0</v>
      </c>
      <c r="H63" s="16">
        <v>0.2965</v>
      </c>
      <c r="I63" s="16">
        <v>0.0105</v>
      </c>
      <c r="J63" s="11" t="str">
        <f t="array" ref="J63">IF(C63="Corr", INDEX($D$1:$J$1, XMATCH(MAX(D63:I63), D63:I63)), "")</f>
        <v/>
      </c>
      <c r="K63" s="11" t="str">
        <f t="shared" si="1"/>
        <v/>
      </c>
      <c r="L63" s="11" t="str">
        <f t="shared" si="2"/>
        <v/>
      </c>
    </row>
    <row r="64" ht="14.25" customHeight="1">
      <c r="A64" s="11" t="s">
        <v>73</v>
      </c>
      <c r="B64" s="12" t="s">
        <v>74</v>
      </c>
      <c r="C64" s="11" t="s">
        <v>11</v>
      </c>
      <c r="D64" s="17">
        <v>21.0</v>
      </c>
      <c r="E64" s="17">
        <v>21.0</v>
      </c>
      <c r="F64" s="17">
        <v>19.0</v>
      </c>
      <c r="G64" s="16">
        <v>21.0</v>
      </c>
      <c r="H64" s="16">
        <v>21.0</v>
      </c>
      <c r="I64" s="16">
        <v>21.0</v>
      </c>
      <c r="J64" s="11" t="str">
        <f t="array" ref="J64">IF(C64="Corr", INDEX($D$1:$J$1, XMATCH(MAX(D64:I64), D64:I64)), "")</f>
        <v/>
      </c>
      <c r="K64" s="11" t="str">
        <f t="shared" si="1"/>
        <v/>
      </c>
      <c r="L64" s="11" t="str">
        <f t="shared" si="2"/>
        <v/>
      </c>
    </row>
    <row r="65" ht="14.25" customHeight="1">
      <c r="A65" s="11" t="s">
        <v>75</v>
      </c>
      <c r="B65" s="12" t="s">
        <v>76</v>
      </c>
      <c r="C65" s="11" t="s">
        <v>9</v>
      </c>
      <c r="D65" s="20">
        <v>0.553</v>
      </c>
      <c r="E65" s="15">
        <v>0.2837</v>
      </c>
      <c r="F65" s="15">
        <v>0.3271</v>
      </c>
      <c r="G65" s="19">
        <v>0.6473</v>
      </c>
      <c r="H65" s="19">
        <v>0.5554</v>
      </c>
      <c r="I65" s="19">
        <v>0.6395</v>
      </c>
      <c r="J65" s="11" t="str">
        <f t="array" ref="J65">IF(C65="Corr", INDEX($D$1:$J$1, XMATCH(MAX(D65:I65), D65:I65)), "")</f>
        <v>rema_a_irt</v>
      </c>
      <c r="K65" s="11" t="str">
        <f t="shared" si="1"/>
        <v>rema</v>
      </c>
      <c r="L65" s="11">
        <f t="shared" si="2"/>
        <v>1</v>
      </c>
    </row>
    <row r="66" ht="14.25" customHeight="1">
      <c r="A66" s="11" t="s">
        <v>75</v>
      </c>
      <c r="B66" s="12" t="s">
        <v>76</v>
      </c>
      <c r="C66" s="11" t="s">
        <v>10</v>
      </c>
      <c r="D66" s="17">
        <v>0.0023</v>
      </c>
      <c r="E66" s="17">
        <v>0.1358</v>
      </c>
      <c r="F66" s="17">
        <v>0.0958</v>
      </c>
      <c r="G66" s="16">
        <v>2.0E-4</v>
      </c>
      <c r="H66" s="16">
        <v>0.0018</v>
      </c>
      <c r="I66" s="16">
        <v>2.0E-4</v>
      </c>
      <c r="J66" s="11" t="str">
        <f t="array" ref="J66">IF(C66="Corr", INDEX($D$1:$J$1, XMATCH(MAX(D66:I66), D66:I66)), "")</f>
        <v/>
      </c>
      <c r="K66" s="11" t="str">
        <f t="shared" si="1"/>
        <v/>
      </c>
      <c r="L66" s="11" t="str">
        <f t="shared" si="2"/>
        <v/>
      </c>
    </row>
    <row r="67" ht="14.25" customHeight="1">
      <c r="A67" s="11" t="s">
        <v>75</v>
      </c>
      <c r="B67" s="12" t="s">
        <v>76</v>
      </c>
      <c r="C67" s="11" t="s">
        <v>11</v>
      </c>
      <c r="D67" s="17">
        <v>28.0</v>
      </c>
      <c r="E67" s="17">
        <v>29.0</v>
      </c>
      <c r="F67" s="17">
        <v>27.0</v>
      </c>
      <c r="G67" s="16">
        <v>28.0</v>
      </c>
      <c r="H67" s="16">
        <v>29.0</v>
      </c>
      <c r="I67" s="16">
        <v>28.0</v>
      </c>
      <c r="J67" s="11" t="str">
        <f t="array" ref="J67">IF(C67="Corr", INDEX($D$1:$J$1, XMATCH(MAX(D67:I67), D67:I67)), "")</f>
        <v/>
      </c>
      <c r="K67" s="11" t="str">
        <f t="shared" si="1"/>
        <v/>
      </c>
      <c r="L67" s="11" t="str">
        <f t="shared" si="2"/>
        <v/>
      </c>
    </row>
    <row r="68" ht="14.25" customHeight="1">
      <c r="A68" s="11" t="s">
        <v>77</v>
      </c>
      <c r="B68" s="12" t="s">
        <v>78</v>
      </c>
      <c r="C68" s="11" t="s">
        <v>9</v>
      </c>
      <c r="D68" s="15">
        <v>0.4357</v>
      </c>
      <c r="E68" s="15">
        <v>0.4991</v>
      </c>
      <c r="F68" s="15">
        <v>0.4777</v>
      </c>
      <c r="G68" s="19">
        <v>0.6061</v>
      </c>
      <c r="H68" s="19">
        <v>0.5224</v>
      </c>
      <c r="I68" s="19">
        <v>0.6649</v>
      </c>
      <c r="J68" s="11" t="str">
        <f t="array" ref="J68">IF(C68="Corr", INDEX($D$1:$J$1, XMATCH(MAX(D68:I68), D68:I68)), "")</f>
        <v>rema_tot_irt</v>
      </c>
      <c r="K68" s="11" t="str">
        <f t="shared" si="1"/>
        <v>rema</v>
      </c>
      <c r="L68" s="11">
        <f t="shared" si="2"/>
        <v>1</v>
      </c>
    </row>
    <row r="69" ht="14.25" customHeight="1">
      <c r="A69" s="11" t="s">
        <v>77</v>
      </c>
      <c r="B69" s="12" t="s">
        <v>78</v>
      </c>
      <c r="C69" s="11" t="s">
        <v>10</v>
      </c>
      <c r="D69" s="17">
        <v>0.0231</v>
      </c>
      <c r="E69" s="17">
        <v>0.0069</v>
      </c>
      <c r="F69" s="17">
        <v>0.0136</v>
      </c>
      <c r="G69" s="16">
        <v>8.0E-4</v>
      </c>
      <c r="H69" s="16">
        <v>0.0043</v>
      </c>
      <c r="I69" s="16">
        <v>2.0E-4</v>
      </c>
      <c r="J69" s="11" t="str">
        <f t="array" ref="J69">IF(C69="Corr", INDEX($D$1:$J$1, XMATCH(MAX(D69:I69), D69:I69)), "")</f>
        <v/>
      </c>
      <c r="K69" s="11" t="str">
        <f t="shared" si="1"/>
        <v/>
      </c>
      <c r="L69" s="11" t="str">
        <f t="shared" si="2"/>
        <v/>
      </c>
    </row>
    <row r="70" ht="14.25" customHeight="1">
      <c r="A70" s="11" t="s">
        <v>77</v>
      </c>
      <c r="B70" s="12" t="s">
        <v>78</v>
      </c>
      <c r="C70" s="11" t="s">
        <v>11</v>
      </c>
      <c r="D70" s="17">
        <v>27.0</v>
      </c>
      <c r="E70" s="17">
        <v>28.0</v>
      </c>
      <c r="F70" s="17">
        <v>26.0</v>
      </c>
      <c r="G70" s="16">
        <v>27.0</v>
      </c>
      <c r="H70" s="16">
        <v>28.0</v>
      </c>
      <c r="I70" s="16">
        <v>27.0</v>
      </c>
      <c r="J70" s="11" t="str">
        <f t="array" ref="J70">IF(C70="Corr", INDEX($D$1:$J$1, XMATCH(MAX(D70:I70), D70:I70)), "")</f>
        <v/>
      </c>
      <c r="K70" s="11" t="str">
        <f t="shared" si="1"/>
        <v/>
      </c>
      <c r="L70" s="11" t="str">
        <f t="shared" si="2"/>
        <v/>
      </c>
    </row>
    <row r="71" ht="14.25" customHeight="1">
      <c r="A71" s="11" t="s">
        <v>79</v>
      </c>
      <c r="B71" s="12" t="s">
        <v>80</v>
      </c>
      <c r="C71" s="11" t="s">
        <v>9</v>
      </c>
      <c r="D71" s="15">
        <v>0.3791</v>
      </c>
      <c r="E71" s="14">
        <v>0.1681</v>
      </c>
      <c r="F71" s="15">
        <v>0.4923</v>
      </c>
      <c r="G71" s="19">
        <v>0.6723</v>
      </c>
      <c r="H71" s="13">
        <v>0.4344</v>
      </c>
      <c r="I71" s="19">
        <v>0.6448</v>
      </c>
      <c r="J71" s="11" t="str">
        <f t="array" ref="J71">IF(C71="Corr", INDEX($D$1:$J$1, XMATCH(MAX(D71:I71), D71:I71)), "")</f>
        <v>rema_a_irt</v>
      </c>
      <c r="K71" s="11" t="str">
        <f t="shared" si="1"/>
        <v>rema</v>
      </c>
      <c r="L71" s="11">
        <f t="shared" si="2"/>
        <v>1</v>
      </c>
    </row>
    <row r="72" ht="14.25" customHeight="1">
      <c r="A72" s="11" t="s">
        <v>79</v>
      </c>
      <c r="B72" s="12" t="s">
        <v>80</v>
      </c>
      <c r="C72" s="11" t="s">
        <v>10</v>
      </c>
      <c r="D72" s="17">
        <v>0.0466</v>
      </c>
      <c r="E72" s="17">
        <v>0.3833</v>
      </c>
      <c r="F72" s="17">
        <v>0.0078</v>
      </c>
      <c r="G72" s="16">
        <v>1.0E-4</v>
      </c>
      <c r="H72" s="16">
        <v>0.0185</v>
      </c>
      <c r="I72" s="16">
        <v>2.0E-4</v>
      </c>
      <c r="J72" s="11" t="str">
        <f t="array" ref="J72">IF(C72="Corr", INDEX($D$1:$J$1, XMATCH(MAX(D72:I72), D72:I72)), "")</f>
        <v/>
      </c>
      <c r="K72" s="11" t="str">
        <f t="shared" si="1"/>
        <v/>
      </c>
      <c r="L72" s="11" t="str">
        <f t="shared" si="2"/>
        <v/>
      </c>
    </row>
    <row r="73" ht="14.25" customHeight="1">
      <c r="A73" s="11" t="s">
        <v>79</v>
      </c>
      <c r="B73" s="12" t="s">
        <v>80</v>
      </c>
      <c r="C73" s="11" t="s">
        <v>11</v>
      </c>
      <c r="D73" s="17">
        <v>28.0</v>
      </c>
      <c r="E73" s="17">
        <v>29.0</v>
      </c>
      <c r="F73" s="17">
        <v>28.0</v>
      </c>
      <c r="G73" s="16">
        <v>28.0</v>
      </c>
      <c r="H73" s="16">
        <v>29.0</v>
      </c>
      <c r="I73" s="16">
        <v>28.0</v>
      </c>
      <c r="J73" s="11" t="str">
        <f t="array" ref="J73">IF(C73="Corr", INDEX($D$1:$J$1, XMATCH(MAX(D73:I73), D73:I73)), "")</f>
        <v/>
      </c>
      <c r="K73" s="11" t="str">
        <f t="shared" si="1"/>
        <v/>
      </c>
      <c r="L73" s="11" t="str">
        <f t="shared" si="2"/>
        <v/>
      </c>
    </row>
    <row r="74" ht="14.25" customHeight="1">
      <c r="A74" s="11" t="s">
        <v>81</v>
      </c>
      <c r="B74" s="12" t="s">
        <v>82</v>
      </c>
      <c r="C74" s="11" t="s">
        <v>9</v>
      </c>
      <c r="D74" s="15">
        <v>0.403</v>
      </c>
      <c r="E74" s="15">
        <v>0.3903</v>
      </c>
      <c r="F74" s="20">
        <v>0.5001</v>
      </c>
      <c r="G74" s="19">
        <v>0.6565</v>
      </c>
      <c r="H74" s="13">
        <v>0.4351</v>
      </c>
      <c r="I74" s="19">
        <v>0.576</v>
      </c>
      <c r="J74" s="11" t="str">
        <f t="array" ref="J74">IF(C74="Corr", INDEX($D$1:$J$1, XMATCH(MAX(D74:I74), D74:I74)), "")</f>
        <v>rema_a_irt</v>
      </c>
      <c r="K74" s="11" t="str">
        <f t="shared" si="1"/>
        <v>rema</v>
      </c>
      <c r="L74" s="11">
        <f t="shared" si="2"/>
        <v>1</v>
      </c>
    </row>
    <row r="75" ht="14.25" customHeight="1">
      <c r="A75" s="11" t="s">
        <v>81</v>
      </c>
      <c r="B75" s="12" t="s">
        <v>82</v>
      </c>
      <c r="C75" s="11" t="s">
        <v>10</v>
      </c>
      <c r="D75" s="17">
        <v>0.0273</v>
      </c>
      <c r="E75" s="17">
        <v>0.03</v>
      </c>
      <c r="F75" s="17">
        <v>0.0049</v>
      </c>
      <c r="G75" s="16">
        <v>1.0E-4</v>
      </c>
      <c r="H75" s="16">
        <v>0.0144</v>
      </c>
      <c r="I75" s="16">
        <v>9.0E-4</v>
      </c>
      <c r="J75" s="11" t="str">
        <f t="array" ref="J75">IF(C75="Corr", INDEX($D$1:$J$1, XMATCH(MAX(D75:I75), D75:I75)), "")</f>
        <v/>
      </c>
      <c r="K75" s="11" t="str">
        <f t="shared" si="1"/>
        <v/>
      </c>
      <c r="L75" s="11" t="str">
        <f t="shared" si="2"/>
        <v/>
      </c>
    </row>
    <row r="76" ht="14.25" customHeight="1">
      <c r="A76" s="11" t="s">
        <v>81</v>
      </c>
      <c r="B76" s="12" t="s">
        <v>82</v>
      </c>
      <c r="C76" s="11" t="s">
        <v>11</v>
      </c>
      <c r="D76" s="17">
        <v>30.0</v>
      </c>
      <c r="E76" s="17">
        <v>31.0</v>
      </c>
      <c r="F76" s="17">
        <v>30.0</v>
      </c>
      <c r="G76" s="16">
        <v>30.0</v>
      </c>
      <c r="H76" s="16">
        <v>31.0</v>
      </c>
      <c r="I76" s="16">
        <v>30.0</v>
      </c>
      <c r="J76" s="11" t="str">
        <f t="array" ref="J76">IF(C76="Corr", INDEX($D$1:$J$1, XMATCH(MAX(D76:I76), D76:I76)), "")</f>
        <v/>
      </c>
      <c r="K76" s="11" t="str">
        <f t="shared" si="1"/>
        <v/>
      </c>
      <c r="L76" s="11" t="str">
        <f t="shared" si="2"/>
        <v/>
      </c>
    </row>
    <row r="77" ht="14.25" customHeight="1">
      <c r="A77" s="11" t="s">
        <v>83</v>
      </c>
      <c r="B77" s="12" t="s">
        <v>84</v>
      </c>
      <c r="C77" s="11" t="s">
        <v>9</v>
      </c>
      <c r="D77" s="14">
        <v>0.235</v>
      </c>
      <c r="E77" s="15">
        <v>0.4579</v>
      </c>
      <c r="F77" s="15">
        <v>0.4491</v>
      </c>
      <c r="G77" s="19">
        <v>0.5127</v>
      </c>
      <c r="H77" s="13">
        <v>0.3083</v>
      </c>
      <c r="I77" s="13">
        <v>0.4174</v>
      </c>
      <c r="J77" s="11" t="str">
        <f t="array" ref="J77">IF(C77="Corr", INDEX($D$1:$J$1, XMATCH(MAX(D77:I77), D77:I77)), "")</f>
        <v>rema_a_irt</v>
      </c>
      <c r="K77" s="11" t="str">
        <f t="shared" si="1"/>
        <v>rema</v>
      </c>
      <c r="L77" s="11">
        <f t="shared" si="2"/>
        <v>1</v>
      </c>
    </row>
    <row r="78" ht="14.25" customHeight="1">
      <c r="A78" s="11" t="s">
        <v>83</v>
      </c>
      <c r="B78" s="12" t="s">
        <v>84</v>
      </c>
      <c r="C78" s="11" t="s">
        <v>10</v>
      </c>
      <c r="D78" s="17">
        <v>0.1741</v>
      </c>
      <c r="E78" s="17">
        <v>0.005</v>
      </c>
      <c r="F78" s="17">
        <v>0.0077</v>
      </c>
      <c r="G78" s="16">
        <v>0.0016</v>
      </c>
      <c r="H78" s="16">
        <v>0.0674</v>
      </c>
      <c r="I78" s="16">
        <v>0.0126</v>
      </c>
      <c r="J78" s="11" t="str">
        <f t="array" ref="J78">IF(C78="Corr", INDEX($D$1:$J$1, XMATCH(MAX(D78:I78), D78:I78)), "")</f>
        <v/>
      </c>
      <c r="K78" s="11" t="str">
        <f t="shared" si="1"/>
        <v/>
      </c>
      <c r="L78" s="11" t="str">
        <f t="shared" si="2"/>
        <v/>
      </c>
    </row>
    <row r="79" ht="14.25" customHeight="1">
      <c r="A79" s="11" t="s">
        <v>83</v>
      </c>
      <c r="B79" s="12" t="s">
        <v>84</v>
      </c>
      <c r="C79" s="11" t="s">
        <v>11</v>
      </c>
      <c r="D79" s="17">
        <v>35.0</v>
      </c>
      <c r="E79" s="17">
        <v>36.0</v>
      </c>
      <c r="F79" s="17">
        <v>34.0</v>
      </c>
      <c r="G79" s="16">
        <v>35.0</v>
      </c>
      <c r="H79" s="16">
        <v>36.0</v>
      </c>
      <c r="I79" s="16">
        <v>35.0</v>
      </c>
      <c r="J79" s="11" t="str">
        <f t="array" ref="J79">IF(C79="Corr", INDEX($D$1:$J$1, XMATCH(MAX(D79:I79), D79:I79)), "")</f>
        <v/>
      </c>
      <c r="K79" s="11" t="str">
        <f t="shared" si="1"/>
        <v/>
      </c>
      <c r="L79" s="11" t="str">
        <f t="shared" si="2"/>
        <v/>
      </c>
    </row>
    <row r="80" ht="14.25" customHeight="1">
      <c r="J80" s="11" t="str">
        <f t="array" ref="J80">IF(A80="Corr", INDEX($C$1:$J$1, XMATCH(MAX(A80:I80), A80:I80)), "")</f>
        <v/>
      </c>
      <c r="L80" s="11">
        <f>SUM(L2:L79)</f>
        <v>10</v>
      </c>
    </row>
    <row r="81" ht="14.25" customHeight="1">
      <c r="J81" s="11" t="str">
        <f t="array" ref="J81">IF(A81="Corr", INDEX($C$1:$J$1, XMATCH(MAX(A81:I81), A81:I81)), "")</f>
        <v/>
      </c>
    </row>
    <row r="82" ht="14.25" customHeight="1">
      <c r="J82" s="11" t="str">
        <f t="array" ref="J82">IF(A82="Corr", INDEX($C$1:$J$1, XMATCH(MAX(A82:I82), A82:I82)), "")</f>
        <v/>
      </c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17.57"/>
    <col customWidth="1" min="3" max="26" width="11.43"/>
  </cols>
  <sheetData>
    <row r="1" ht="14.25" customHeight="1">
      <c r="A1" s="10" t="s">
        <v>85</v>
      </c>
      <c r="B1" s="10" t="s">
        <v>3</v>
      </c>
      <c r="C1" s="10" t="s">
        <v>4</v>
      </c>
      <c r="D1" s="10" t="s">
        <v>86</v>
      </c>
      <c r="E1" s="10" t="s">
        <v>87</v>
      </c>
      <c r="F1" s="10" t="s">
        <v>88</v>
      </c>
      <c r="G1" s="10" t="s">
        <v>89</v>
      </c>
      <c r="H1" s="10" t="s">
        <v>90</v>
      </c>
      <c r="I1" s="10" t="s">
        <v>91</v>
      </c>
      <c r="J1" s="10" t="s">
        <v>92</v>
      </c>
    </row>
    <row r="2" ht="14.25" customHeight="1">
      <c r="A2" s="11" t="s">
        <v>7</v>
      </c>
      <c r="B2" s="11" t="str">
        <f t="array" ref="B2">XLOOKUP(A2, Lookup!B:B, Lookup!D:D)</f>
        <v>#N/A</v>
      </c>
      <c r="C2" s="11" t="s">
        <v>9</v>
      </c>
      <c r="D2" s="23">
        <v>0.4081</v>
      </c>
      <c r="E2" s="11">
        <v>0.1401</v>
      </c>
      <c r="F2" s="11">
        <v>0.2728</v>
      </c>
      <c r="G2" s="11">
        <v>0.189</v>
      </c>
      <c r="H2" s="11">
        <v>0.3501</v>
      </c>
      <c r="I2" s="11">
        <v>0.249</v>
      </c>
      <c r="J2" s="11">
        <v>0.3225</v>
      </c>
    </row>
    <row r="3" ht="14.25" customHeight="1">
      <c r="A3" s="11" t="s">
        <v>7</v>
      </c>
      <c r="B3" s="11" t="str">
        <f t="array" ref="B3">XLOOKUP(A3, Lookup!B:B, Lookup!D:D)</f>
        <v>#N/A</v>
      </c>
      <c r="C3" s="11" t="s">
        <v>10</v>
      </c>
      <c r="D3" s="23">
        <v>0.0</v>
      </c>
      <c r="E3" s="11">
        <v>0.1336</v>
      </c>
      <c r="F3" s="11">
        <v>0.0058</v>
      </c>
      <c r="G3" s="11">
        <v>0.0348</v>
      </c>
      <c r="H3" s="11">
        <v>1.0E-4</v>
      </c>
      <c r="I3" s="11">
        <v>0.0055</v>
      </c>
      <c r="J3" s="11">
        <v>3.0E-4</v>
      </c>
    </row>
    <row r="4" ht="14.25" customHeight="1">
      <c r="A4" s="11" t="s">
        <v>7</v>
      </c>
      <c r="B4" s="11" t="str">
        <f t="array" ref="B4">XLOOKUP(A4, Lookup!B:B, Lookup!D:D)</f>
        <v>#N/A</v>
      </c>
      <c r="C4" s="11" t="s">
        <v>11</v>
      </c>
      <c r="D4" s="23">
        <v>126.0</v>
      </c>
      <c r="E4" s="11">
        <v>116.0</v>
      </c>
      <c r="F4" s="11">
        <v>101.0</v>
      </c>
      <c r="G4" s="11">
        <v>125.0</v>
      </c>
      <c r="H4" s="11">
        <v>125.0</v>
      </c>
      <c r="I4" s="11">
        <v>123.0</v>
      </c>
      <c r="J4" s="11">
        <v>123.0</v>
      </c>
    </row>
    <row r="5" ht="14.25" customHeight="1">
      <c r="A5" s="11" t="s">
        <v>12</v>
      </c>
      <c r="B5" s="11" t="str">
        <f t="array" ref="B5">XLOOKUP(A5, Lookup!B:B, Lookup!D:D)</f>
        <v>#N/A</v>
      </c>
      <c r="C5" s="11" t="s">
        <v>9</v>
      </c>
      <c r="D5" s="23">
        <v>0.3248</v>
      </c>
      <c r="E5" s="11">
        <v>0.1354</v>
      </c>
      <c r="F5" s="11">
        <v>0.2435</v>
      </c>
      <c r="G5" s="11">
        <v>0.1491</v>
      </c>
      <c r="H5" s="11">
        <v>0.3533</v>
      </c>
      <c r="I5" s="11">
        <v>0.2326</v>
      </c>
      <c r="J5" s="11">
        <v>0.3361</v>
      </c>
    </row>
    <row r="6" ht="14.25" customHeight="1">
      <c r="A6" s="11" t="s">
        <v>12</v>
      </c>
      <c r="B6" s="11" t="str">
        <f t="array" ref="B6">XLOOKUP(A6, Lookup!B:B, Lookup!D:D)</f>
        <v>#N/A</v>
      </c>
      <c r="C6" s="11" t="s">
        <v>10</v>
      </c>
      <c r="D6" s="23">
        <v>0.0016</v>
      </c>
      <c r="E6" s="11">
        <v>0.2113</v>
      </c>
      <c r="F6" s="11">
        <v>0.0393</v>
      </c>
      <c r="G6" s="11">
        <v>0.1608</v>
      </c>
      <c r="H6" s="11">
        <v>6.0E-4</v>
      </c>
      <c r="I6" s="11">
        <v>0.0282</v>
      </c>
      <c r="J6" s="11">
        <v>0.0014</v>
      </c>
    </row>
    <row r="7" ht="14.25" customHeight="1">
      <c r="A7" s="11" t="s">
        <v>12</v>
      </c>
      <c r="B7" s="11" t="str">
        <f t="array" ref="B7">XLOOKUP(A7, Lookup!B:B, Lookup!D:D)</f>
        <v>#N/A</v>
      </c>
      <c r="C7" s="11" t="s">
        <v>11</v>
      </c>
      <c r="D7" s="23">
        <v>92.0</v>
      </c>
      <c r="E7" s="11">
        <v>87.0</v>
      </c>
      <c r="F7" s="11">
        <v>72.0</v>
      </c>
      <c r="G7" s="11">
        <v>90.0</v>
      </c>
      <c r="H7" s="11">
        <v>90.0</v>
      </c>
      <c r="I7" s="11">
        <v>89.0</v>
      </c>
      <c r="J7" s="11">
        <v>88.0</v>
      </c>
    </row>
    <row r="8" ht="14.25" customHeight="1">
      <c r="A8" s="11" t="s">
        <v>14</v>
      </c>
      <c r="B8" s="11" t="str">
        <f t="array" ref="B8">XLOOKUP(A8, Lookup!B:B, Lookup!D:D)</f>
        <v>#N/A</v>
      </c>
      <c r="C8" s="11" t="s">
        <v>9</v>
      </c>
      <c r="D8" s="23">
        <v>0.3004</v>
      </c>
      <c r="E8" s="11">
        <v>0.3436</v>
      </c>
      <c r="F8" s="11">
        <v>0.2804</v>
      </c>
      <c r="G8" s="11">
        <v>0.1223</v>
      </c>
      <c r="H8" s="11">
        <v>0.3417</v>
      </c>
      <c r="I8" s="11">
        <v>0.0396</v>
      </c>
      <c r="J8" s="11">
        <v>0.2219</v>
      </c>
    </row>
    <row r="9" ht="14.25" customHeight="1">
      <c r="A9" s="11" t="s">
        <v>14</v>
      </c>
      <c r="B9" s="11" t="str">
        <f t="array" ref="B9">XLOOKUP(A9, Lookup!B:B, Lookup!D:D)</f>
        <v>#N/A</v>
      </c>
      <c r="C9" s="11" t="s">
        <v>10</v>
      </c>
      <c r="D9" s="23">
        <v>0.0088</v>
      </c>
      <c r="E9" s="11">
        <v>0.0033</v>
      </c>
      <c r="F9" s="11">
        <v>0.0286</v>
      </c>
      <c r="G9" s="11">
        <v>0.2992</v>
      </c>
      <c r="H9" s="11">
        <v>0.0029</v>
      </c>
      <c r="I9" s="11">
        <v>0.7431</v>
      </c>
      <c r="J9" s="11">
        <v>0.0629</v>
      </c>
    </row>
    <row r="10" ht="14.25" customHeight="1">
      <c r="A10" s="11" t="s">
        <v>14</v>
      </c>
      <c r="B10" s="11" t="str">
        <f t="array" ref="B10">XLOOKUP(A10, Lookup!B:B, Lookup!D:D)</f>
        <v>#N/A</v>
      </c>
      <c r="C10" s="11" t="s">
        <v>11</v>
      </c>
      <c r="D10" s="23">
        <v>75.0</v>
      </c>
      <c r="E10" s="11">
        <v>71.0</v>
      </c>
      <c r="F10" s="11">
        <v>61.0</v>
      </c>
      <c r="G10" s="11">
        <v>74.0</v>
      </c>
      <c r="H10" s="11">
        <v>74.0</v>
      </c>
      <c r="I10" s="11">
        <v>71.0</v>
      </c>
      <c r="J10" s="11">
        <v>71.0</v>
      </c>
    </row>
    <row r="11" ht="14.25" customHeight="1">
      <c r="A11" s="11" t="s">
        <v>28</v>
      </c>
      <c r="B11" s="11" t="str">
        <f t="array" ref="B11">XLOOKUP(A11, Lookup!B:B, Lookup!D:D)</f>
        <v>#N/A</v>
      </c>
      <c r="C11" s="11" t="s">
        <v>9</v>
      </c>
      <c r="D11" s="11">
        <v>0.2485</v>
      </c>
      <c r="E11" s="23">
        <v>0.1097</v>
      </c>
      <c r="F11" s="11">
        <v>0.2083</v>
      </c>
      <c r="G11" s="11">
        <v>0.0807</v>
      </c>
      <c r="H11" s="11">
        <v>0.1583</v>
      </c>
      <c r="I11" s="11">
        <v>0.1238</v>
      </c>
      <c r="J11" s="11">
        <v>0.1076</v>
      </c>
    </row>
    <row r="12" ht="14.25" customHeight="1">
      <c r="A12" s="11" t="s">
        <v>28</v>
      </c>
      <c r="B12" s="11" t="str">
        <f t="array" ref="B12">XLOOKUP(A12, Lookup!B:B, Lookup!D:D)</f>
        <v>#N/A</v>
      </c>
      <c r="C12" s="11" t="s">
        <v>10</v>
      </c>
      <c r="D12" s="11">
        <v>0.0157</v>
      </c>
      <c r="E12" s="23">
        <v>0.2951</v>
      </c>
      <c r="F12" s="11">
        <v>0.0709</v>
      </c>
      <c r="G12" s="11">
        <v>0.4447</v>
      </c>
      <c r="H12" s="11">
        <v>0.1296</v>
      </c>
      <c r="I12" s="11">
        <v>0.2396</v>
      </c>
      <c r="J12" s="11">
        <v>0.3099</v>
      </c>
    </row>
    <row r="13" ht="14.25" customHeight="1">
      <c r="A13" s="11" t="s">
        <v>28</v>
      </c>
      <c r="B13" s="11" t="str">
        <f t="array" ref="B13">XLOOKUP(A13, Lookup!B:B, Lookup!D:D)</f>
        <v>#N/A</v>
      </c>
      <c r="C13" s="11" t="s">
        <v>11</v>
      </c>
      <c r="D13" s="11">
        <v>94.0</v>
      </c>
      <c r="E13" s="23">
        <v>93.0</v>
      </c>
      <c r="F13" s="11">
        <v>76.0</v>
      </c>
      <c r="G13" s="11">
        <v>92.0</v>
      </c>
      <c r="H13" s="11">
        <v>93.0</v>
      </c>
      <c r="I13" s="11">
        <v>92.0</v>
      </c>
      <c r="J13" s="11">
        <v>91.0</v>
      </c>
    </row>
    <row r="14" ht="14.25" customHeight="1">
      <c r="A14" s="11" t="s">
        <v>30</v>
      </c>
      <c r="B14" s="11" t="str">
        <f t="array" ref="B14">XLOOKUP(A14, Lookup!B:B, Lookup!D:D)</f>
        <v>#N/A</v>
      </c>
      <c r="C14" s="11" t="s">
        <v>9</v>
      </c>
      <c r="D14" s="11">
        <v>0.2694</v>
      </c>
      <c r="E14" s="23">
        <v>0.2754</v>
      </c>
      <c r="F14" s="11">
        <v>0.4871</v>
      </c>
      <c r="G14" s="11">
        <v>0.2405</v>
      </c>
      <c r="H14" s="11">
        <v>0.2067</v>
      </c>
      <c r="I14" s="11">
        <v>0.1564</v>
      </c>
      <c r="J14" s="11">
        <v>0.1976</v>
      </c>
    </row>
    <row r="15" ht="14.25" customHeight="1">
      <c r="A15" s="11" t="s">
        <v>30</v>
      </c>
      <c r="B15" s="11" t="str">
        <f t="array" ref="B15">XLOOKUP(A15, Lookup!B:B, Lookup!D:D)</f>
        <v>#N/A</v>
      </c>
      <c r="C15" s="11" t="s">
        <v>10</v>
      </c>
      <c r="D15" s="11">
        <v>0.0029</v>
      </c>
      <c r="E15" s="23">
        <v>0.0034</v>
      </c>
      <c r="F15" s="11">
        <v>0.0</v>
      </c>
      <c r="G15" s="11">
        <v>0.0084</v>
      </c>
      <c r="H15" s="11">
        <v>0.0235</v>
      </c>
      <c r="I15" s="11">
        <v>0.0894</v>
      </c>
      <c r="J15" s="11">
        <v>0.032</v>
      </c>
    </row>
    <row r="16" ht="14.25" customHeight="1">
      <c r="A16" s="11" t="s">
        <v>30</v>
      </c>
      <c r="B16" s="11" t="str">
        <f t="array" ref="B16">XLOOKUP(A16, Lookup!B:B, Lookup!D:D)</f>
        <v>#N/A</v>
      </c>
      <c r="C16" s="11" t="s">
        <v>11</v>
      </c>
      <c r="D16" s="11">
        <v>120.0</v>
      </c>
      <c r="E16" s="23">
        <v>111.0</v>
      </c>
      <c r="F16" s="11">
        <v>95.0</v>
      </c>
      <c r="G16" s="11">
        <v>119.0</v>
      </c>
      <c r="H16" s="11">
        <v>120.0</v>
      </c>
      <c r="I16" s="11">
        <v>119.0</v>
      </c>
      <c r="J16" s="11">
        <v>118.0</v>
      </c>
    </row>
    <row r="17" ht="14.25" customHeight="1">
      <c r="A17" s="11" t="s">
        <v>37</v>
      </c>
      <c r="B17" s="11" t="str">
        <f t="array" ref="B17">XLOOKUP(A17, Lookup!B:B, Lookup!D:D)</f>
        <v>#N/A</v>
      </c>
      <c r="C17" s="11" t="s">
        <v>9</v>
      </c>
      <c r="D17" s="11">
        <v>0.1592</v>
      </c>
      <c r="E17" s="11">
        <v>0.175</v>
      </c>
      <c r="F17" s="11">
        <v>0.272</v>
      </c>
      <c r="G17" s="11">
        <v>0.0577</v>
      </c>
      <c r="H17" s="11">
        <v>0.1179</v>
      </c>
      <c r="I17" s="11">
        <v>0.1101</v>
      </c>
      <c r="J17" s="11">
        <v>0.1684</v>
      </c>
    </row>
    <row r="18" ht="14.25" customHeight="1">
      <c r="A18" s="11" t="s">
        <v>37</v>
      </c>
      <c r="B18" s="11" t="str">
        <f t="array" ref="B18">XLOOKUP(A18, Lookup!B:B, Lookup!D:D)</f>
        <v>#N/A</v>
      </c>
      <c r="C18" s="11" t="s">
        <v>10</v>
      </c>
      <c r="D18" s="11">
        <v>0.0727</v>
      </c>
      <c r="E18" s="11">
        <v>0.0559</v>
      </c>
      <c r="F18" s="11">
        <v>0.0048</v>
      </c>
      <c r="G18" s="11">
        <v>0.5193</v>
      </c>
      <c r="H18" s="11">
        <v>0.1869</v>
      </c>
      <c r="I18" s="11">
        <v>0.2217</v>
      </c>
      <c r="J18" s="11">
        <v>0.0615</v>
      </c>
    </row>
    <row r="19" ht="14.25" customHeight="1">
      <c r="A19" s="11" t="s">
        <v>37</v>
      </c>
      <c r="B19" s="11" t="str">
        <f t="array" ref="B19">XLOOKUP(A19, Lookup!B:B, Lookup!D:D)</f>
        <v>#N/A</v>
      </c>
      <c r="C19" s="11" t="s">
        <v>11</v>
      </c>
      <c r="D19" s="11">
        <v>128.0</v>
      </c>
      <c r="E19" s="11">
        <v>120.0</v>
      </c>
      <c r="F19" s="11">
        <v>106.0</v>
      </c>
      <c r="G19" s="11">
        <v>127.0</v>
      </c>
      <c r="H19" s="11">
        <v>127.0</v>
      </c>
      <c r="I19" s="11">
        <v>125.0</v>
      </c>
      <c r="J19" s="11">
        <v>124.0</v>
      </c>
    </row>
    <row r="20" ht="14.25" customHeight="1">
      <c r="A20" s="11" t="s">
        <v>39</v>
      </c>
      <c r="B20" s="11" t="str">
        <f t="array" ref="B20">XLOOKUP(A20, Lookup!B:B, Lookup!D:D)</f>
        <v>#N/A</v>
      </c>
      <c r="C20" s="11" t="s">
        <v>9</v>
      </c>
      <c r="D20" s="11">
        <v>0.3161</v>
      </c>
      <c r="E20" s="11">
        <v>0.2944</v>
      </c>
      <c r="F20" s="11">
        <v>0.4749</v>
      </c>
      <c r="G20" s="11">
        <v>0.1873</v>
      </c>
      <c r="H20" s="11">
        <v>0.2764</v>
      </c>
      <c r="I20" s="11">
        <v>0.0971</v>
      </c>
      <c r="J20" s="11">
        <v>0.2359</v>
      </c>
    </row>
    <row r="21" ht="14.25" customHeight="1">
      <c r="A21" s="11" t="s">
        <v>39</v>
      </c>
      <c r="B21" s="11" t="str">
        <f t="array" ref="B21">XLOOKUP(A21, Lookup!B:B, Lookup!D:D)</f>
        <v>#N/A</v>
      </c>
      <c r="C21" s="11" t="s">
        <v>10</v>
      </c>
      <c r="D21" s="11">
        <v>3.0E-4</v>
      </c>
      <c r="E21" s="11">
        <v>0.0013</v>
      </c>
      <c r="F21" s="11">
        <v>0.0</v>
      </c>
      <c r="G21" s="11">
        <v>0.0365</v>
      </c>
      <c r="H21" s="11">
        <v>0.0018</v>
      </c>
      <c r="I21" s="11">
        <v>0.2854</v>
      </c>
      <c r="J21" s="11">
        <v>0.0089</v>
      </c>
    </row>
    <row r="22" ht="14.25" customHeight="1">
      <c r="A22" s="11" t="s">
        <v>39</v>
      </c>
      <c r="B22" s="11" t="str">
        <f t="array" ref="B22">XLOOKUP(A22, Lookup!B:B, Lookup!D:D)</f>
        <v>#N/A</v>
      </c>
      <c r="C22" s="11" t="s">
        <v>11</v>
      </c>
      <c r="D22" s="11">
        <v>126.0</v>
      </c>
      <c r="E22" s="11">
        <v>117.0</v>
      </c>
      <c r="F22" s="11">
        <v>102.0</v>
      </c>
      <c r="G22" s="11">
        <v>125.0</v>
      </c>
      <c r="H22" s="11">
        <v>125.0</v>
      </c>
      <c r="I22" s="11">
        <v>123.0</v>
      </c>
      <c r="J22" s="11">
        <v>122.0</v>
      </c>
    </row>
    <row r="23" ht="14.25" customHeight="1">
      <c r="A23" s="11" t="s">
        <v>41</v>
      </c>
      <c r="B23" s="11" t="str">
        <f t="array" ref="B23">XLOOKUP(A23, Lookup!B:B, Lookup!D:D)</f>
        <v>#N/A</v>
      </c>
      <c r="C23" s="11" t="s">
        <v>9</v>
      </c>
      <c r="D23" s="11">
        <v>0.3474</v>
      </c>
      <c r="E23" s="11">
        <v>0.3424</v>
      </c>
      <c r="F23" s="11">
        <v>0.475</v>
      </c>
      <c r="G23" s="11">
        <v>0.3209</v>
      </c>
      <c r="H23" s="11">
        <v>0.4009</v>
      </c>
      <c r="I23" s="11">
        <v>0.159</v>
      </c>
      <c r="J23" s="11">
        <v>0.3035</v>
      </c>
    </row>
    <row r="24" ht="14.25" customHeight="1">
      <c r="A24" s="11" t="s">
        <v>41</v>
      </c>
      <c r="B24" s="11" t="str">
        <f t="array" ref="B24">XLOOKUP(A24, Lookup!B:B, Lookup!D:D)</f>
        <v>#N/A</v>
      </c>
      <c r="C24" s="11" t="s">
        <v>10</v>
      </c>
      <c r="D24" s="11">
        <v>1.0E-4</v>
      </c>
      <c r="E24" s="11">
        <v>3.0E-4</v>
      </c>
      <c r="F24" s="11">
        <v>0.0</v>
      </c>
      <c r="G24" s="11">
        <v>4.0E-4</v>
      </c>
      <c r="H24" s="11">
        <v>0.0</v>
      </c>
      <c r="I24" s="11">
        <v>0.0882</v>
      </c>
      <c r="J24" s="11">
        <v>0.001</v>
      </c>
    </row>
    <row r="25" ht="14.25" customHeight="1">
      <c r="A25" s="11" t="s">
        <v>41</v>
      </c>
      <c r="B25" s="11" t="str">
        <f t="array" ref="B25">XLOOKUP(A25, Lookup!B:B, Lookup!D:D)</f>
        <v>#N/A</v>
      </c>
      <c r="C25" s="11" t="s">
        <v>11</v>
      </c>
      <c r="D25" s="11">
        <v>119.0</v>
      </c>
      <c r="E25" s="11">
        <v>110.0</v>
      </c>
      <c r="F25" s="11">
        <v>96.0</v>
      </c>
      <c r="G25" s="11">
        <v>119.0</v>
      </c>
      <c r="H25" s="11">
        <v>117.0</v>
      </c>
      <c r="I25" s="11">
        <v>116.0</v>
      </c>
      <c r="J25" s="11">
        <v>115.0</v>
      </c>
    </row>
    <row r="26" ht="14.25" customHeight="1">
      <c r="A26" s="11" t="s">
        <v>43</v>
      </c>
      <c r="B26" s="11" t="str">
        <f t="array" ref="B26">XLOOKUP(A26, Lookup!B:B, Lookup!D:D)</f>
        <v>#N/A</v>
      </c>
      <c r="C26" s="11" t="s">
        <v>9</v>
      </c>
      <c r="D26" s="11">
        <v>-0.0339</v>
      </c>
      <c r="E26" s="11">
        <v>0.2686</v>
      </c>
      <c r="F26" s="11">
        <v>0.3632</v>
      </c>
      <c r="G26" s="11">
        <v>0.041</v>
      </c>
      <c r="H26" s="11">
        <v>0.2919</v>
      </c>
      <c r="I26" s="11">
        <v>0.113</v>
      </c>
      <c r="J26" s="11">
        <v>0.2093</v>
      </c>
    </row>
    <row r="27" ht="14.25" customHeight="1">
      <c r="A27" s="11" t="s">
        <v>43</v>
      </c>
      <c r="B27" s="11" t="str">
        <f t="array" ref="B27">XLOOKUP(A27, Lookup!B:B, Lookup!D:D)</f>
        <v>#N/A</v>
      </c>
      <c r="C27" s="11" t="s">
        <v>10</v>
      </c>
      <c r="D27" s="11">
        <v>0.8172</v>
      </c>
      <c r="E27" s="11">
        <v>0.0621</v>
      </c>
      <c r="F27" s="11">
        <v>0.023</v>
      </c>
      <c r="G27" s="11">
        <v>0.7797</v>
      </c>
      <c r="H27" s="11">
        <v>0.0419</v>
      </c>
      <c r="I27" s="11">
        <v>0.4345</v>
      </c>
      <c r="J27" s="11">
        <v>0.1489</v>
      </c>
    </row>
    <row r="28" ht="14.25" customHeight="1">
      <c r="A28" s="11" t="s">
        <v>43</v>
      </c>
      <c r="B28" s="11" t="str">
        <f t="array" ref="B28">XLOOKUP(A28, Lookup!B:B, Lookup!D:D)</f>
        <v>#N/A</v>
      </c>
      <c r="C28" s="11" t="s">
        <v>11</v>
      </c>
      <c r="D28" s="11">
        <v>49.0</v>
      </c>
      <c r="E28" s="11">
        <v>49.0</v>
      </c>
      <c r="F28" s="11">
        <v>39.0</v>
      </c>
      <c r="G28" s="11">
        <v>49.0</v>
      </c>
      <c r="H28" s="11">
        <v>49.0</v>
      </c>
      <c r="I28" s="11">
        <v>50.0</v>
      </c>
      <c r="J28" s="11">
        <v>49.0</v>
      </c>
    </row>
    <row r="29" ht="14.25" customHeight="1">
      <c r="A29" s="11" t="s">
        <v>45</v>
      </c>
      <c r="B29" s="11" t="str">
        <f t="array" ref="B29">XLOOKUP(A29, Lookup!B:B, Lookup!D:D)</f>
        <v>#N/A</v>
      </c>
      <c r="C29" s="11" t="s">
        <v>9</v>
      </c>
      <c r="D29" s="11">
        <v>0.4602</v>
      </c>
      <c r="E29" s="11">
        <v>0.4736</v>
      </c>
      <c r="F29" s="11">
        <v>0.4075</v>
      </c>
      <c r="G29" s="11">
        <v>0.1337</v>
      </c>
      <c r="H29" s="11">
        <v>0.5092</v>
      </c>
      <c r="I29" s="11">
        <v>0.5341</v>
      </c>
      <c r="J29" s="11">
        <v>0.5176</v>
      </c>
    </row>
    <row r="30" ht="14.25" customHeight="1">
      <c r="A30" s="11" t="s">
        <v>45</v>
      </c>
      <c r="B30" s="11" t="str">
        <f t="array" ref="B30">XLOOKUP(A30, Lookup!B:B, Lookup!D:D)</f>
        <v>#N/A</v>
      </c>
      <c r="C30" s="11" t="s">
        <v>10</v>
      </c>
      <c r="D30" s="11">
        <v>0.008</v>
      </c>
      <c r="E30" s="11">
        <v>0.0071</v>
      </c>
      <c r="F30" s="11">
        <v>0.0432</v>
      </c>
      <c r="G30" s="11">
        <v>0.4658</v>
      </c>
      <c r="H30" s="11">
        <v>0.0034</v>
      </c>
      <c r="I30" s="11">
        <v>0.0016</v>
      </c>
      <c r="J30" s="11">
        <v>0.0029</v>
      </c>
    </row>
    <row r="31" ht="14.25" customHeight="1">
      <c r="A31" s="11" t="s">
        <v>45</v>
      </c>
      <c r="B31" s="11" t="str">
        <f t="array" ref="B31">XLOOKUP(A31, Lookup!B:B, Lookup!D:D)</f>
        <v>#N/A</v>
      </c>
      <c r="C31" s="11" t="s">
        <v>11</v>
      </c>
      <c r="D31" s="11">
        <v>32.0</v>
      </c>
      <c r="E31" s="11">
        <v>31.0</v>
      </c>
      <c r="F31" s="11">
        <v>25.0</v>
      </c>
      <c r="G31" s="11">
        <v>32.0</v>
      </c>
      <c r="H31" s="11">
        <v>31.0</v>
      </c>
      <c r="I31" s="11">
        <v>32.0</v>
      </c>
      <c r="J31" s="11">
        <v>31.0</v>
      </c>
    </row>
    <row r="32" ht="14.25" customHeight="1">
      <c r="A32" s="11" t="s">
        <v>47</v>
      </c>
      <c r="B32" s="11" t="str">
        <f t="array" ref="B32">XLOOKUP(A32, Lookup!B:B, Lookup!D:D)</f>
        <v>#N/A</v>
      </c>
      <c r="C32" s="11" t="s">
        <v>9</v>
      </c>
      <c r="D32" s="11">
        <v>0.4055</v>
      </c>
      <c r="E32" s="11">
        <v>0.4974</v>
      </c>
      <c r="F32" s="11">
        <v>0.4103</v>
      </c>
      <c r="G32" s="11">
        <v>0.17</v>
      </c>
      <c r="H32" s="11">
        <v>0.5938</v>
      </c>
      <c r="I32" s="11">
        <v>0.3594</v>
      </c>
      <c r="J32" s="11">
        <v>0.5013</v>
      </c>
    </row>
    <row r="33" ht="14.25" customHeight="1">
      <c r="A33" s="11" t="s">
        <v>47</v>
      </c>
      <c r="B33" s="11" t="str">
        <f t="array" ref="B33">XLOOKUP(A33, Lookup!B:B, Lookup!D:D)</f>
        <v>#N/A</v>
      </c>
      <c r="C33" s="11" t="s">
        <v>10</v>
      </c>
      <c r="D33" s="11">
        <v>0.0141</v>
      </c>
      <c r="E33" s="11">
        <v>0.002</v>
      </c>
      <c r="F33" s="11">
        <v>0.0271</v>
      </c>
      <c r="G33" s="11">
        <v>0.3215</v>
      </c>
      <c r="H33" s="11">
        <v>2.0E-4</v>
      </c>
      <c r="I33" s="11">
        <v>0.0313</v>
      </c>
      <c r="J33" s="11">
        <v>0.0022</v>
      </c>
    </row>
    <row r="34" ht="14.25" customHeight="1">
      <c r="A34" s="11" t="s">
        <v>47</v>
      </c>
      <c r="B34" s="11" t="str">
        <f t="array" ref="B34">XLOOKUP(A34, Lookup!B:B, Lookup!D:D)</f>
        <v>#N/A</v>
      </c>
      <c r="C34" s="11" t="s">
        <v>11</v>
      </c>
      <c r="D34" s="11">
        <v>36.0</v>
      </c>
      <c r="E34" s="11">
        <v>36.0</v>
      </c>
      <c r="F34" s="11">
        <v>29.0</v>
      </c>
      <c r="G34" s="11">
        <v>36.0</v>
      </c>
      <c r="H34" s="11">
        <v>35.0</v>
      </c>
      <c r="I34" s="11">
        <v>36.0</v>
      </c>
      <c r="J34" s="11">
        <v>35.0</v>
      </c>
    </row>
    <row r="35" ht="14.25" customHeight="1">
      <c r="A35" s="11" t="s">
        <v>49</v>
      </c>
      <c r="B35" s="11" t="str">
        <f t="array" ref="B35">XLOOKUP(A35, Lookup!B:B, Lookup!D:D)</f>
        <v>#N/A</v>
      </c>
      <c r="C35" s="11" t="s">
        <v>9</v>
      </c>
      <c r="D35" s="11">
        <v>0.3046</v>
      </c>
      <c r="E35" s="11">
        <v>0.4213</v>
      </c>
      <c r="F35" s="11">
        <v>0.3732</v>
      </c>
      <c r="G35" s="11">
        <v>0.3295</v>
      </c>
      <c r="H35" s="11">
        <v>0.429</v>
      </c>
      <c r="I35" s="11">
        <v>0.2148</v>
      </c>
      <c r="J35" s="11">
        <v>0.3603</v>
      </c>
    </row>
    <row r="36" ht="14.25" customHeight="1">
      <c r="A36" s="11" t="s">
        <v>49</v>
      </c>
      <c r="B36" s="11" t="str">
        <f t="array" ref="B36">XLOOKUP(A36, Lookup!B:B, Lookup!D:D)</f>
        <v>#N/A</v>
      </c>
      <c r="C36" s="11" t="s">
        <v>10</v>
      </c>
      <c r="D36" s="11">
        <v>4.0E-4</v>
      </c>
      <c r="E36" s="11">
        <v>0.0</v>
      </c>
      <c r="F36" s="11">
        <v>1.0E-4</v>
      </c>
      <c r="G36" s="11">
        <v>1.0E-4</v>
      </c>
      <c r="H36" s="11">
        <v>0.0</v>
      </c>
      <c r="I36" s="11">
        <v>0.0145</v>
      </c>
      <c r="J36" s="11">
        <v>0.0</v>
      </c>
    </row>
    <row r="37" ht="14.25" customHeight="1">
      <c r="A37" s="11" t="s">
        <v>49</v>
      </c>
      <c r="B37" s="11" t="str">
        <f t="array" ref="B37">XLOOKUP(A37, Lookup!B:B, Lookup!D:D)</f>
        <v>#N/A</v>
      </c>
      <c r="C37" s="11" t="s">
        <v>11</v>
      </c>
      <c r="D37" s="11">
        <v>131.0</v>
      </c>
      <c r="E37" s="11">
        <v>120.0</v>
      </c>
      <c r="F37" s="11">
        <v>104.0</v>
      </c>
      <c r="G37" s="11">
        <v>130.0</v>
      </c>
      <c r="H37" s="11">
        <v>129.0</v>
      </c>
      <c r="I37" s="11">
        <v>129.0</v>
      </c>
      <c r="J37" s="11">
        <v>128.0</v>
      </c>
    </row>
    <row r="38" ht="14.25" customHeight="1">
      <c r="A38" s="11" t="s">
        <v>51</v>
      </c>
      <c r="B38" s="11" t="str">
        <f t="array" ref="B38">XLOOKUP(A38, Lookup!B:B, Lookup!D:D)</f>
        <v>#N/A</v>
      </c>
      <c r="C38" s="11" t="s">
        <v>9</v>
      </c>
      <c r="D38" s="11">
        <v>0.2071</v>
      </c>
      <c r="E38" s="11">
        <v>0.3972</v>
      </c>
      <c r="F38" s="11">
        <v>0.3229</v>
      </c>
      <c r="G38" s="11">
        <v>0.1484</v>
      </c>
      <c r="H38" s="11">
        <v>0.4436</v>
      </c>
      <c r="I38" s="11">
        <v>0.2091</v>
      </c>
      <c r="J38" s="11">
        <v>0.3896</v>
      </c>
    </row>
    <row r="39" ht="14.25" customHeight="1">
      <c r="A39" s="11" t="s">
        <v>51</v>
      </c>
      <c r="B39" s="11" t="str">
        <f t="array" ref="B39">XLOOKUP(A39, Lookup!B:B, Lookup!D:D)</f>
        <v>#N/A</v>
      </c>
      <c r="C39" s="11" t="s">
        <v>10</v>
      </c>
      <c r="D39" s="11">
        <v>0.0221</v>
      </c>
      <c r="E39" s="11">
        <v>0.0</v>
      </c>
      <c r="F39" s="11">
        <v>0.0011</v>
      </c>
      <c r="G39" s="11">
        <v>0.1042</v>
      </c>
      <c r="H39" s="11">
        <v>0.0</v>
      </c>
      <c r="I39" s="11">
        <v>0.0231</v>
      </c>
      <c r="J39" s="11">
        <v>0.0</v>
      </c>
    </row>
    <row r="40" ht="14.25" customHeight="1">
      <c r="A40" s="11" t="s">
        <v>51</v>
      </c>
      <c r="B40" s="11" t="str">
        <f t="array" ref="B40">XLOOKUP(A40, Lookup!B:B, Lookup!D:D)</f>
        <v>#N/A</v>
      </c>
      <c r="C40" s="11" t="s">
        <v>11</v>
      </c>
      <c r="D40" s="11">
        <v>122.0</v>
      </c>
      <c r="E40" s="11">
        <v>113.0</v>
      </c>
      <c r="F40" s="11">
        <v>99.0</v>
      </c>
      <c r="G40" s="11">
        <v>121.0</v>
      </c>
      <c r="H40" s="11">
        <v>120.0</v>
      </c>
      <c r="I40" s="11">
        <v>118.0</v>
      </c>
      <c r="J40" s="11">
        <v>117.0</v>
      </c>
    </row>
    <row r="41" ht="14.25" customHeight="1">
      <c r="A41" s="11" t="s">
        <v>53</v>
      </c>
      <c r="B41" s="11" t="str">
        <f t="array" ref="B41">XLOOKUP(A41, Lookup!B:B, Lookup!D:D)</f>
        <v>#N/A</v>
      </c>
      <c r="C41" s="11" t="s">
        <v>9</v>
      </c>
      <c r="D41" s="11">
        <v>0.5614</v>
      </c>
      <c r="E41" s="11">
        <v>0.3141</v>
      </c>
      <c r="F41" s="11">
        <v>0.5469</v>
      </c>
      <c r="G41" s="11">
        <v>0.0986</v>
      </c>
      <c r="H41" s="11">
        <v>0.4479</v>
      </c>
      <c r="I41" s="11">
        <v>0.3097</v>
      </c>
      <c r="J41" s="11">
        <v>0.428</v>
      </c>
    </row>
    <row r="42" ht="14.25" customHeight="1">
      <c r="A42" s="11" t="s">
        <v>53</v>
      </c>
      <c r="B42" s="11" t="str">
        <f t="array" ref="B42">XLOOKUP(A42, Lookup!B:B, Lookup!D:D)</f>
        <v>#N/A</v>
      </c>
      <c r="C42" s="11" t="s">
        <v>10</v>
      </c>
      <c r="D42" s="11">
        <v>1.0E-4</v>
      </c>
      <c r="E42" s="11">
        <v>0.0356</v>
      </c>
      <c r="F42" s="11">
        <v>7.0E-4</v>
      </c>
      <c r="G42" s="11">
        <v>0.5194</v>
      </c>
      <c r="H42" s="11">
        <v>0.002</v>
      </c>
      <c r="I42" s="11">
        <v>0.0362</v>
      </c>
      <c r="J42" s="11">
        <v>0.0034</v>
      </c>
    </row>
    <row r="43" ht="14.25" customHeight="1">
      <c r="A43" s="11" t="s">
        <v>53</v>
      </c>
      <c r="B43" s="11" t="str">
        <f t="array" ref="B43">XLOOKUP(A43, Lookup!B:B, Lookup!D:D)</f>
        <v>#N/A</v>
      </c>
      <c r="C43" s="11" t="s">
        <v>11</v>
      </c>
      <c r="D43" s="11">
        <v>45.0</v>
      </c>
      <c r="E43" s="11">
        <v>45.0</v>
      </c>
      <c r="F43" s="11">
        <v>35.0</v>
      </c>
      <c r="G43" s="11">
        <v>45.0</v>
      </c>
      <c r="H43" s="11">
        <v>45.0</v>
      </c>
      <c r="I43" s="11">
        <v>46.0</v>
      </c>
      <c r="J43" s="11">
        <v>45.0</v>
      </c>
    </row>
    <row r="44" ht="14.25" customHeight="1">
      <c r="A44" s="11" t="s">
        <v>55</v>
      </c>
      <c r="B44" s="11" t="str">
        <f t="array" ref="B44">XLOOKUP(A44, Lookup!B:B, Lookup!D:D)</f>
        <v>#N/A</v>
      </c>
      <c r="C44" s="11" t="s">
        <v>9</v>
      </c>
      <c r="D44" s="11">
        <v>0.4903</v>
      </c>
      <c r="E44" s="11">
        <v>0.366</v>
      </c>
      <c r="F44" s="11">
        <v>0.3622</v>
      </c>
      <c r="G44" s="11">
        <v>0.4533</v>
      </c>
      <c r="H44" s="11">
        <v>0.4096</v>
      </c>
      <c r="I44" s="11">
        <v>0.3179</v>
      </c>
      <c r="J44" s="11">
        <v>0.3401</v>
      </c>
    </row>
    <row r="45" ht="14.25" customHeight="1">
      <c r="A45" s="11" t="s">
        <v>55</v>
      </c>
      <c r="B45" s="11" t="str">
        <f t="array" ref="B45">XLOOKUP(A45, Lookup!B:B, Lookup!D:D)</f>
        <v>#N/A</v>
      </c>
      <c r="C45" s="11" t="s">
        <v>10</v>
      </c>
      <c r="D45" s="11">
        <v>0.0028</v>
      </c>
      <c r="E45" s="11">
        <v>0.0333</v>
      </c>
      <c r="F45" s="11">
        <v>0.0633</v>
      </c>
      <c r="G45" s="11">
        <v>0.0055</v>
      </c>
      <c r="H45" s="11">
        <v>0.0145</v>
      </c>
      <c r="I45" s="11">
        <v>0.0628</v>
      </c>
      <c r="J45" s="11">
        <v>0.0491</v>
      </c>
    </row>
    <row r="46" ht="14.25" customHeight="1">
      <c r="A46" s="11" t="s">
        <v>55</v>
      </c>
      <c r="B46" s="11" t="str">
        <f t="array" ref="B46">XLOOKUP(A46, Lookup!B:B, Lookup!D:D)</f>
        <v>#N/A</v>
      </c>
      <c r="C46" s="11" t="s">
        <v>11</v>
      </c>
      <c r="D46" s="11">
        <v>35.0</v>
      </c>
      <c r="E46" s="11">
        <v>34.0</v>
      </c>
      <c r="F46" s="11">
        <v>27.0</v>
      </c>
      <c r="G46" s="11">
        <v>36.0</v>
      </c>
      <c r="H46" s="11">
        <v>35.0</v>
      </c>
      <c r="I46" s="11">
        <v>35.0</v>
      </c>
      <c r="J46" s="11">
        <v>34.0</v>
      </c>
    </row>
    <row r="47" ht="14.25" customHeight="1">
      <c r="A47" s="11" t="s">
        <v>83</v>
      </c>
      <c r="B47" s="11" t="str">
        <f t="array" ref="B47">XLOOKUP(A47, Lookup!B:B, Lookup!D:D)</f>
        <v>#N/A</v>
      </c>
      <c r="C47" s="11" t="s">
        <v>9</v>
      </c>
      <c r="D47" s="11">
        <v>0.388</v>
      </c>
      <c r="E47" s="11">
        <v>0.5248</v>
      </c>
      <c r="F47" s="11">
        <v>0.4939</v>
      </c>
      <c r="G47" s="11">
        <v>0.374</v>
      </c>
      <c r="H47" s="11">
        <v>0.3422</v>
      </c>
      <c r="I47" s="11">
        <v>0.0746</v>
      </c>
      <c r="J47" s="11">
        <v>0.1662</v>
      </c>
    </row>
    <row r="48" ht="14.25" customHeight="1">
      <c r="A48" s="11" t="s">
        <v>83</v>
      </c>
      <c r="B48" s="11" t="str">
        <f t="array" ref="B48">XLOOKUP(A48, Lookup!B:B, Lookup!D:D)</f>
        <v>#N/A</v>
      </c>
      <c r="C48" s="11" t="s">
        <v>10</v>
      </c>
      <c r="D48" s="11">
        <v>0.0</v>
      </c>
      <c r="E48" s="11">
        <v>0.0</v>
      </c>
      <c r="F48" s="11">
        <v>0.0</v>
      </c>
      <c r="G48" s="11">
        <v>0.0</v>
      </c>
      <c r="H48" s="11">
        <v>1.0E-4</v>
      </c>
      <c r="I48" s="11">
        <v>0.4027</v>
      </c>
      <c r="J48" s="11">
        <v>0.0619</v>
      </c>
    </row>
    <row r="49" ht="14.25" customHeight="1">
      <c r="A49" s="11" t="s">
        <v>83</v>
      </c>
      <c r="B49" s="11" t="str">
        <f t="array" ref="B49">XLOOKUP(A49, Lookup!B:B, Lookup!D:D)</f>
        <v>#N/A</v>
      </c>
      <c r="C49" s="11" t="s">
        <v>11</v>
      </c>
      <c r="D49" s="11">
        <v>130.0</v>
      </c>
      <c r="E49" s="11">
        <v>120.0</v>
      </c>
      <c r="F49" s="11">
        <v>104.0</v>
      </c>
      <c r="G49" s="11">
        <v>129.0</v>
      </c>
      <c r="H49" s="11">
        <v>128.0</v>
      </c>
      <c r="I49" s="11">
        <v>128.0</v>
      </c>
      <c r="J49" s="11">
        <v>127.0</v>
      </c>
    </row>
    <row r="50" ht="14.25" customHeight="1">
      <c r="A50" s="11" t="s">
        <v>65</v>
      </c>
      <c r="B50" s="11" t="str">
        <f t="array" ref="B50">XLOOKUP(A50, Lookup!B:B, Lookup!D:D)</f>
        <v>#N/A</v>
      </c>
      <c r="C50" s="11" t="s">
        <v>9</v>
      </c>
      <c r="D50" s="11">
        <v>0.2994</v>
      </c>
      <c r="E50" s="11">
        <v>0.4217</v>
      </c>
      <c r="F50" s="11">
        <v>0.4056</v>
      </c>
      <c r="G50" s="11">
        <v>0.1962</v>
      </c>
      <c r="H50" s="11">
        <v>0.4925</v>
      </c>
      <c r="I50" s="11">
        <v>0.296</v>
      </c>
      <c r="J50" s="11">
        <v>0.4535</v>
      </c>
    </row>
    <row r="51" ht="14.25" customHeight="1">
      <c r="A51" s="11" t="s">
        <v>65</v>
      </c>
      <c r="B51" s="11" t="str">
        <f t="array" ref="B51">XLOOKUP(A51, Lookup!B:B, Lookup!D:D)</f>
        <v>#N/A</v>
      </c>
      <c r="C51" s="11" t="s">
        <v>10</v>
      </c>
      <c r="D51" s="11">
        <v>0.0026</v>
      </c>
      <c r="E51" s="11">
        <v>0.0</v>
      </c>
      <c r="F51" s="11">
        <v>2.0E-4</v>
      </c>
      <c r="G51" s="11">
        <v>0.0541</v>
      </c>
      <c r="H51" s="11">
        <v>0.0</v>
      </c>
      <c r="I51" s="11">
        <v>0.0031</v>
      </c>
      <c r="J51" s="11">
        <v>0.0</v>
      </c>
    </row>
    <row r="52" ht="14.25" customHeight="1">
      <c r="A52" s="11" t="s">
        <v>65</v>
      </c>
      <c r="B52" s="11" t="str">
        <f t="array" ref="B52">XLOOKUP(A52, Lookup!B:B, Lookup!D:D)</f>
        <v>#N/A</v>
      </c>
      <c r="C52" s="11" t="s">
        <v>11</v>
      </c>
      <c r="D52" s="11">
        <v>99.0</v>
      </c>
      <c r="E52" s="11">
        <v>94.0</v>
      </c>
      <c r="F52" s="11">
        <v>81.0</v>
      </c>
      <c r="G52" s="11">
        <v>97.0</v>
      </c>
      <c r="H52" s="11">
        <v>98.0</v>
      </c>
      <c r="I52" s="11">
        <v>98.0</v>
      </c>
      <c r="J52" s="11">
        <v>97.0</v>
      </c>
    </row>
    <row r="53" ht="14.25" customHeight="1">
      <c r="A53" s="11" t="s">
        <v>67</v>
      </c>
      <c r="B53" s="11" t="str">
        <f t="array" ref="B53">XLOOKUP(A53, Lookup!B:B, Lookup!D:D)</f>
        <v>#N/A</v>
      </c>
      <c r="C53" s="11" t="s">
        <v>9</v>
      </c>
      <c r="D53" s="11">
        <v>0.4263</v>
      </c>
      <c r="E53" s="11">
        <v>0.2689</v>
      </c>
      <c r="F53" s="11">
        <v>0.4968</v>
      </c>
      <c r="G53" s="11">
        <v>0.3429</v>
      </c>
      <c r="H53" s="11">
        <v>0.499</v>
      </c>
      <c r="I53" s="11">
        <v>0.3485</v>
      </c>
      <c r="J53" s="11">
        <v>0.4955</v>
      </c>
    </row>
    <row r="54" ht="14.25" customHeight="1">
      <c r="A54" s="11" t="s">
        <v>67</v>
      </c>
      <c r="B54" s="11" t="str">
        <f t="array" ref="B54">XLOOKUP(A54, Lookup!B:B, Lookup!D:D)</f>
        <v>#N/A</v>
      </c>
      <c r="C54" s="11" t="s">
        <v>10</v>
      </c>
      <c r="D54" s="11">
        <v>0.0</v>
      </c>
      <c r="E54" s="11">
        <v>0.0081</v>
      </c>
      <c r="F54" s="11">
        <v>0.0</v>
      </c>
      <c r="G54" s="11">
        <v>4.0E-4</v>
      </c>
      <c r="H54" s="11">
        <v>0.0</v>
      </c>
      <c r="I54" s="11">
        <v>3.0E-4</v>
      </c>
      <c r="J54" s="11">
        <v>0.0</v>
      </c>
    </row>
    <row r="55" ht="14.25" customHeight="1">
      <c r="A55" s="11" t="s">
        <v>67</v>
      </c>
      <c r="B55" s="11" t="str">
        <f t="array" ref="B55">XLOOKUP(A55, Lookup!B:B, Lookup!D:D)</f>
        <v>#N/A</v>
      </c>
      <c r="C55" s="11" t="s">
        <v>11</v>
      </c>
      <c r="D55" s="11">
        <v>104.0</v>
      </c>
      <c r="E55" s="11">
        <v>96.0</v>
      </c>
      <c r="F55" s="11">
        <v>84.0</v>
      </c>
      <c r="G55" s="11">
        <v>102.0</v>
      </c>
      <c r="H55" s="11">
        <v>103.0</v>
      </c>
      <c r="I55" s="11">
        <v>102.0</v>
      </c>
      <c r="J55" s="11">
        <v>101.0</v>
      </c>
    </row>
    <row r="56" ht="14.25" customHeight="1">
      <c r="A56" s="11" t="s">
        <v>69</v>
      </c>
      <c r="B56" s="11" t="str">
        <f t="array" ref="B56">XLOOKUP(A56, Lookup!B:B, Lookup!D:D)</f>
        <v>#N/A</v>
      </c>
      <c r="C56" s="11" t="s">
        <v>9</v>
      </c>
      <c r="D56" s="11">
        <v>0.514</v>
      </c>
      <c r="E56" s="11">
        <v>0.3659</v>
      </c>
      <c r="F56" s="11">
        <v>0.3932</v>
      </c>
      <c r="G56" s="11">
        <v>0.4866</v>
      </c>
      <c r="H56" s="11">
        <v>0.3743</v>
      </c>
      <c r="I56" s="11">
        <v>0.2511</v>
      </c>
      <c r="J56" s="11">
        <v>0.3488</v>
      </c>
    </row>
    <row r="57" ht="14.25" customHeight="1">
      <c r="A57" s="11" t="s">
        <v>69</v>
      </c>
      <c r="B57" s="11" t="str">
        <f t="array" ref="B57">XLOOKUP(A57, Lookup!B:B, Lookup!D:D)</f>
        <v>#N/A</v>
      </c>
      <c r="C57" s="11" t="s">
        <v>10</v>
      </c>
      <c r="D57" s="11">
        <v>0.0</v>
      </c>
      <c r="E57" s="11">
        <v>1.0E-4</v>
      </c>
      <c r="F57" s="11">
        <v>1.0E-4</v>
      </c>
      <c r="G57" s="11">
        <v>0.0</v>
      </c>
      <c r="H57" s="11">
        <v>0.0</v>
      </c>
      <c r="I57" s="11">
        <v>0.0066</v>
      </c>
      <c r="J57" s="11">
        <v>1.0E-4</v>
      </c>
    </row>
    <row r="58" ht="14.25" customHeight="1">
      <c r="A58" s="11" t="s">
        <v>69</v>
      </c>
      <c r="B58" s="11" t="str">
        <f t="array" ref="B58">XLOOKUP(A58, Lookup!B:B, Lookup!D:D)</f>
        <v>#N/A</v>
      </c>
      <c r="C58" s="11" t="s">
        <v>11</v>
      </c>
      <c r="D58" s="11">
        <v>120.0</v>
      </c>
      <c r="E58" s="11">
        <v>111.0</v>
      </c>
      <c r="F58" s="11">
        <v>93.0</v>
      </c>
      <c r="G58" s="11">
        <v>118.0</v>
      </c>
      <c r="H58" s="11">
        <v>117.0</v>
      </c>
      <c r="I58" s="11">
        <v>116.0</v>
      </c>
      <c r="J58" s="11">
        <v>114.0</v>
      </c>
    </row>
    <row r="59" ht="14.25" customHeight="1">
      <c r="A59" s="11" t="s">
        <v>71</v>
      </c>
      <c r="B59" s="11" t="str">
        <f t="array" ref="B59">XLOOKUP(A59, Lookup!B:B, Lookup!D:D)</f>
        <v>#N/A</v>
      </c>
      <c r="C59" s="11" t="s">
        <v>9</v>
      </c>
      <c r="D59" s="11">
        <v>0.3631</v>
      </c>
      <c r="E59" s="11">
        <v>0.4115</v>
      </c>
      <c r="F59" s="11">
        <v>0.3984</v>
      </c>
      <c r="G59" s="11">
        <v>0.2876</v>
      </c>
      <c r="H59" s="11">
        <v>0.5683</v>
      </c>
      <c r="I59" s="11">
        <v>0.2693</v>
      </c>
      <c r="J59" s="11">
        <v>0.4712</v>
      </c>
    </row>
    <row r="60" ht="14.25" customHeight="1">
      <c r="A60" s="11" t="s">
        <v>71</v>
      </c>
      <c r="B60" s="11" t="str">
        <f t="array" ref="B60">XLOOKUP(A60, Lookup!B:B, Lookup!D:D)</f>
        <v>#N/A</v>
      </c>
      <c r="C60" s="11" t="s">
        <v>10</v>
      </c>
      <c r="D60" s="11">
        <v>0.0</v>
      </c>
      <c r="E60" s="11">
        <v>0.0</v>
      </c>
      <c r="F60" s="11">
        <v>0.0</v>
      </c>
      <c r="G60" s="11">
        <v>6.0E-4</v>
      </c>
      <c r="H60" s="11">
        <v>0.0</v>
      </c>
      <c r="I60" s="11">
        <v>0.0015</v>
      </c>
      <c r="J60" s="11">
        <v>0.0</v>
      </c>
    </row>
    <row r="61" ht="14.25" customHeight="1">
      <c r="A61" s="11" t="s">
        <v>71</v>
      </c>
      <c r="B61" s="11" t="str">
        <f t="array" ref="B61">XLOOKUP(A61, Lookup!B:B, Lookup!D:D)</f>
        <v>#N/A</v>
      </c>
      <c r="C61" s="11" t="s">
        <v>11</v>
      </c>
      <c r="D61" s="11">
        <v>140.0</v>
      </c>
      <c r="E61" s="11">
        <v>130.0</v>
      </c>
      <c r="F61" s="11">
        <v>113.0</v>
      </c>
      <c r="G61" s="11">
        <v>138.0</v>
      </c>
      <c r="H61" s="11">
        <v>138.0</v>
      </c>
      <c r="I61" s="11">
        <v>136.0</v>
      </c>
      <c r="J61" s="11">
        <v>135.0</v>
      </c>
    </row>
    <row r="62" ht="14.25" customHeight="1">
      <c r="A62" s="11" t="s">
        <v>73</v>
      </c>
      <c r="B62" s="11" t="str">
        <f t="array" ref="B62">XLOOKUP(A62, Lookup!B:B, Lookup!D:D)</f>
        <v>#N/A</v>
      </c>
      <c r="C62" s="11" t="s">
        <v>9</v>
      </c>
      <c r="D62" s="11">
        <v>0.4034</v>
      </c>
      <c r="E62" s="11">
        <v>0.4256</v>
      </c>
      <c r="F62" s="11">
        <v>0.5015</v>
      </c>
      <c r="G62" s="11">
        <v>0.357</v>
      </c>
      <c r="H62" s="11">
        <v>0.5736</v>
      </c>
      <c r="I62" s="11">
        <v>0.2752</v>
      </c>
      <c r="J62" s="11">
        <v>0.5136</v>
      </c>
    </row>
    <row r="63" ht="14.25" customHeight="1">
      <c r="A63" s="11" t="s">
        <v>73</v>
      </c>
      <c r="B63" s="11" t="str">
        <f t="array" ref="B63">XLOOKUP(A63, Lookup!B:B, Lookup!D:D)</f>
        <v>#N/A</v>
      </c>
      <c r="C63" s="11" t="s">
        <v>10</v>
      </c>
      <c r="D63" s="11">
        <v>0.0</v>
      </c>
      <c r="E63" s="11">
        <v>0.0</v>
      </c>
      <c r="F63" s="11">
        <v>0.0</v>
      </c>
      <c r="G63" s="11">
        <v>0.0</v>
      </c>
      <c r="H63" s="11">
        <v>0.0</v>
      </c>
      <c r="I63" s="11">
        <v>0.0019</v>
      </c>
      <c r="J63" s="11">
        <v>0.0</v>
      </c>
    </row>
    <row r="64" ht="14.25" customHeight="1">
      <c r="A64" s="11" t="s">
        <v>73</v>
      </c>
      <c r="B64" s="11" t="str">
        <f t="array" ref="B64">XLOOKUP(A64, Lookup!B:B, Lookup!D:D)</f>
        <v>#N/A</v>
      </c>
      <c r="C64" s="11" t="s">
        <v>11</v>
      </c>
      <c r="D64" s="11">
        <v>128.0</v>
      </c>
      <c r="E64" s="11">
        <v>118.0</v>
      </c>
      <c r="F64" s="11">
        <v>104.0</v>
      </c>
      <c r="G64" s="11">
        <v>126.0</v>
      </c>
      <c r="H64" s="11">
        <v>126.0</v>
      </c>
      <c r="I64" s="11">
        <v>125.0</v>
      </c>
      <c r="J64" s="11">
        <v>124.0</v>
      </c>
    </row>
    <row r="65" ht="14.25" customHeight="1">
      <c r="A65" s="11" t="s">
        <v>79</v>
      </c>
      <c r="B65" s="11" t="str">
        <f t="array" ref="B65">XLOOKUP(A65, Lookup!B:B, Lookup!D:D)</f>
        <v>#N/A</v>
      </c>
      <c r="C65" s="11" t="s">
        <v>9</v>
      </c>
      <c r="D65" s="11">
        <v>0.3823</v>
      </c>
      <c r="E65" s="11">
        <v>0.3881</v>
      </c>
      <c r="F65" s="11">
        <v>0.3481</v>
      </c>
      <c r="G65" s="11">
        <v>0.2516</v>
      </c>
      <c r="H65" s="11">
        <v>0.5176</v>
      </c>
      <c r="I65" s="11">
        <v>0.4197</v>
      </c>
      <c r="J65" s="11">
        <v>0.5168</v>
      </c>
    </row>
    <row r="66" ht="14.25" customHeight="1">
      <c r="A66" s="11" t="s">
        <v>79</v>
      </c>
      <c r="B66" s="11" t="str">
        <f t="array" ref="B66">XLOOKUP(A66, Lookup!B:B, Lookup!D:D)</f>
        <v>#N/A</v>
      </c>
      <c r="C66" s="11" t="s">
        <v>10</v>
      </c>
      <c r="D66" s="11">
        <v>0.0</v>
      </c>
      <c r="E66" s="11">
        <v>0.0</v>
      </c>
      <c r="F66" s="11">
        <v>1.0E-4</v>
      </c>
      <c r="G66" s="11">
        <v>0.0023</v>
      </c>
      <c r="H66" s="11">
        <v>0.0</v>
      </c>
      <c r="I66" s="11">
        <v>0.0</v>
      </c>
      <c r="J66" s="11">
        <v>0.0</v>
      </c>
    </row>
    <row r="67" ht="14.25" customHeight="1">
      <c r="A67" s="11" t="s">
        <v>79</v>
      </c>
      <c r="B67" s="11" t="str">
        <f t="array" ref="B67">XLOOKUP(A67, Lookup!B:B, Lookup!D:D)</f>
        <v>#N/A</v>
      </c>
      <c r="C67" s="11" t="s">
        <v>11</v>
      </c>
      <c r="D67" s="11">
        <v>147.0</v>
      </c>
      <c r="E67" s="11">
        <v>134.0</v>
      </c>
      <c r="F67" s="11">
        <v>116.0</v>
      </c>
      <c r="G67" s="11">
        <v>145.0</v>
      </c>
      <c r="H67" s="11">
        <v>144.0</v>
      </c>
      <c r="I67" s="11">
        <v>143.0</v>
      </c>
      <c r="J67" s="11">
        <v>141.0</v>
      </c>
    </row>
    <row r="68" ht="14.25" customHeight="1">
      <c r="A68" s="11" t="s">
        <v>81</v>
      </c>
      <c r="B68" s="11" t="str">
        <f t="array" ref="B68">XLOOKUP(A68, Lookup!B:B, Lookup!D:D)</f>
        <v>#N/A</v>
      </c>
      <c r="C68" s="11" t="s">
        <v>9</v>
      </c>
      <c r="D68" s="11">
        <v>0.4474</v>
      </c>
      <c r="E68" s="11">
        <v>0.3085</v>
      </c>
      <c r="F68" s="11">
        <v>0.4008</v>
      </c>
      <c r="G68" s="11">
        <v>0.3223</v>
      </c>
      <c r="H68" s="11">
        <v>0.5433</v>
      </c>
      <c r="I68" s="11">
        <v>0.3383</v>
      </c>
      <c r="J68" s="11">
        <v>0.499</v>
      </c>
    </row>
    <row r="69" ht="14.25" customHeight="1">
      <c r="A69" s="11" t="s">
        <v>81</v>
      </c>
      <c r="B69" s="11" t="str">
        <f t="array" ref="B69">XLOOKUP(A69, Lookup!B:B, Lookup!D:D)</f>
        <v>#N/A</v>
      </c>
      <c r="C69" s="11" t="s">
        <v>10</v>
      </c>
      <c r="D69" s="11">
        <v>0.0</v>
      </c>
      <c r="E69" s="11">
        <v>3.0E-4</v>
      </c>
      <c r="F69" s="11">
        <v>0.0</v>
      </c>
      <c r="G69" s="11">
        <v>1.0E-4</v>
      </c>
      <c r="H69" s="11">
        <v>0.0</v>
      </c>
      <c r="I69" s="11">
        <v>0.0</v>
      </c>
      <c r="J69" s="11">
        <v>0.0</v>
      </c>
    </row>
    <row r="70" ht="14.25" customHeight="1">
      <c r="A70" s="11" t="s">
        <v>81</v>
      </c>
      <c r="B70" s="11" t="str">
        <f t="array" ref="B70">XLOOKUP(A70, Lookup!B:B, Lookup!D:D)</f>
        <v>#N/A</v>
      </c>
      <c r="C70" s="11" t="s">
        <v>11</v>
      </c>
      <c r="D70" s="11">
        <v>145.0</v>
      </c>
      <c r="E70" s="11">
        <v>132.0</v>
      </c>
      <c r="F70" s="11">
        <v>115.0</v>
      </c>
      <c r="G70" s="11">
        <v>143.0</v>
      </c>
      <c r="H70" s="11">
        <v>143.0</v>
      </c>
      <c r="I70" s="11">
        <v>141.0</v>
      </c>
      <c r="J70" s="11">
        <v>140.0</v>
      </c>
    </row>
    <row r="71" ht="14.25" customHeight="1">
      <c r="A71" s="11" t="s">
        <v>16</v>
      </c>
      <c r="B71" s="11" t="str">
        <f t="array" ref="B71">XLOOKUP(A71, Lookup!B:B, Lookup!D:D)</f>
        <v>#N/A</v>
      </c>
      <c r="C71" s="11" t="s">
        <v>9</v>
      </c>
      <c r="D71" s="11">
        <v>0.1825</v>
      </c>
      <c r="E71" s="11">
        <v>0.2543</v>
      </c>
      <c r="F71" s="11">
        <v>0.1657</v>
      </c>
      <c r="G71" s="11">
        <v>0.191</v>
      </c>
      <c r="H71" s="11">
        <v>0.1706</v>
      </c>
      <c r="I71" s="11">
        <v>0.0906</v>
      </c>
      <c r="J71" s="11">
        <v>0.1566</v>
      </c>
    </row>
    <row r="72" ht="14.25" customHeight="1">
      <c r="A72" s="11" t="s">
        <v>16</v>
      </c>
      <c r="B72" s="11" t="str">
        <f t="array" ref="B72">XLOOKUP(A72, Lookup!B:B, Lookup!D:D)</f>
        <v>#N/A</v>
      </c>
      <c r="C72" s="11" t="s">
        <v>10</v>
      </c>
      <c r="D72" s="11">
        <v>0.0499</v>
      </c>
      <c r="E72" s="11">
        <v>0.0088</v>
      </c>
      <c r="F72" s="11">
        <v>0.1185</v>
      </c>
      <c r="G72" s="11">
        <v>0.04</v>
      </c>
      <c r="H72" s="11">
        <v>0.0682</v>
      </c>
      <c r="I72" s="11">
        <v>0.3376</v>
      </c>
      <c r="J72" s="11">
        <v>0.0976</v>
      </c>
    </row>
    <row r="73" ht="14.25" customHeight="1">
      <c r="A73" s="11" t="s">
        <v>16</v>
      </c>
      <c r="B73" s="11" t="str">
        <f t="array" ref="B73">XLOOKUP(A73, Lookup!B:B, Lookup!D:D)</f>
        <v>#N/A</v>
      </c>
      <c r="C73" s="11" t="s">
        <v>11</v>
      </c>
      <c r="D73" s="11">
        <v>116.0</v>
      </c>
      <c r="E73" s="11">
        <v>105.0</v>
      </c>
      <c r="F73" s="11">
        <v>90.0</v>
      </c>
      <c r="G73" s="11">
        <v>116.0</v>
      </c>
      <c r="H73" s="11">
        <v>115.0</v>
      </c>
      <c r="I73" s="11">
        <v>114.0</v>
      </c>
      <c r="J73" s="11">
        <v>113.0</v>
      </c>
    </row>
    <row r="74" ht="14.25" customHeight="1">
      <c r="A74" s="11" t="s">
        <v>32</v>
      </c>
      <c r="B74" s="11" t="str">
        <f t="array" ref="B74">XLOOKUP(A74, Lookup!B:B, Lookup!D:D)</f>
        <v>#N/A</v>
      </c>
      <c r="C74" s="11" t="s">
        <v>9</v>
      </c>
      <c r="D74" s="11">
        <v>0.3854</v>
      </c>
      <c r="E74" s="11">
        <v>0.3467</v>
      </c>
      <c r="F74" s="11">
        <v>0.3026</v>
      </c>
      <c r="G74" s="11">
        <v>0.282</v>
      </c>
      <c r="H74" s="11">
        <v>0.3218</v>
      </c>
      <c r="I74" s="11">
        <v>0.1961</v>
      </c>
      <c r="J74" s="11">
        <v>0.2906</v>
      </c>
    </row>
    <row r="75" ht="14.25" customHeight="1">
      <c r="A75" s="11" t="s">
        <v>32</v>
      </c>
      <c r="B75" s="11" t="str">
        <f t="array" ref="B75">XLOOKUP(A75, Lookup!B:B, Lookup!D:D)</f>
        <v>#N/A</v>
      </c>
      <c r="C75" s="11" t="s">
        <v>10</v>
      </c>
      <c r="D75" s="11">
        <v>0.0</v>
      </c>
      <c r="E75" s="11">
        <v>1.0E-4</v>
      </c>
      <c r="F75" s="11">
        <v>0.002</v>
      </c>
      <c r="G75" s="11">
        <v>0.0014</v>
      </c>
      <c r="H75" s="11">
        <v>3.0E-4</v>
      </c>
      <c r="I75" s="11">
        <v>0.0297</v>
      </c>
      <c r="J75" s="11">
        <v>0.0012</v>
      </c>
    </row>
    <row r="76" ht="14.25" customHeight="1">
      <c r="A76" s="11" t="s">
        <v>32</v>
      </c>
      <c r="B76" s="11" t="str">
        <f t="array" ref="B76">XLOOKUP(A76, Lookup!B:B, Lookup!D:D)</f>
        <v>#N/A</v>
      </c>
      <c r="C76" s="11" t="s">
        <v>11</v>
      </c>
      <c r="D76" s="11">
        <v>127.0</v>
      </c>
      <c r="E76" s="11">
        <v>116.0</v>
      </c>
      <c r="F76" s="11">
        <v>102.0</v>
      </c>
      <c r="G76" s="11">
        <v>126.0</v>
      </c>
      <c r="H76" s="11">
        <v>125.0</v>
      </c>
      <c r="I76" s="11">
        <v>123.0</v>
      </c>
      <c r="J76" s="11">
        <v>122.0</v>
      </c>
    </row>
    <row r="77" ht="14.25" customHeight="1">
      <c r="A77" s="11" t="s">
        <v>77</v>
      </c>
      <c r="B77" s="11" t="str">
        <f t="array" ref="B77">XLOOKUP(A77, Lookup!B:B, Lookup!D:D)</f>
        <v>#N/A</v>
      </c>
      <c r="C77" s="11" t="s">
        <v>9</v>
      </c>
      <c r="D77" s="11">
        <v>0.443</v>
      </c>
      <c r="E77" s="11">
        <v>0.4365</v>
      </c>
      <c r="F77" s="11">
        <v>0.5217</v>
      </c>
      <c r="G77" s="11">
        <v>0.281</v>
      </c>
      <c r="H77" s="11">
        <v>0.5489</v>
      </c>
      <c r="I77" s="11">
        <v>0.4462</v>
      </c>
      <c r="J77" s="11">
        <v>0.5841</v>
      </c>
    </row>
    <row r="78" ht="14.25" customHeight="1">
      <c r="A78" s="11" t="s">
        <v>77</v>
      </c>
      <c r="B78" s="11" t="str">
        <f t="array" ref="B78">XLOOKUP(A78, Lookup!B:B, Lookup!D:D)</f>
        <v>#N/A</v>
      </c>
      <c r="C78" s="11" t="s">
        <v>10</v>
      </c>
      <c r="D78" s="11">
        <v>0.0</v>
      </c>
      <c r="E78" s="11">
        <v>0.0</v>
      </c>
      <c r="F78" s="11">
        <v>0.0</v>
      </c>
      <c r="G78" s="11">
        <v>0.001</v>
      </c>
      <c r="H78" s="11">
        <v>0.0</v>
      </c>
      <c r="I78" s="11">
        <v>0.0</v>
      </c>
      <c r="J78" s="11">
        <v>0.0</v>
      </c>
    </row>
    <row r="79" ht="14.25" customHeight="1">
      <c r="A79" s="11" t="s">
        <v>77</v>
      </c>
      <c r="B79" s="11" t="str">
        <f t="array" ref="B79">XLOOKUP(A79, Lookup!B:B, Lookup!D:D)</f>
        <v>#N/A</v>
      </c>
      <c r="C79" s="11" t="s">
        <v>11</v>
      </c>
      <c r="D79" s="11">
        <v>137.0</v>
      </c>
      <c r="E79" s="11">
        <v>126.0</v>
      </c>
      <c r="F79" s="11">
        <v>108.0</v>
      </c>
      <c r="G79" s="11">
        <v>135.0</v>
      </c>
      <c r="H79" s="11">
        <v>134.0</v>
      </c>
      <c r="I79" s="11">
        <v>133.0</v>
      </c>
      <c r="J79" s="11">
        <v>131.0</v>
      </c>
    </row>
    <row r="80" ht="14.25" customHeight="1">
      <c r="A80" s="11" t="s">
        <v>75</v>
      </c>
      <c r="B80" s="11" t="str">
        <f t="array" ref="B80">XLOOKUP(A80, Lookup!B:B, Lookup!D:D)</f>
        <v>#N/A</v>
      </c>
      <c r="C80" s="11" t="s">
        <v>9</v>
      </c>
      <c r="D80" s="11">
        <v>0.4266</v>
      </c>
      <c r="E80" s="11">
        <v>0.463</v>
      </c>
      <c r="F80" s="11">
        <v>0.4525</v>
      </c>
      <c r="G80" s="11">
        <v>0.3339</v>
      </c>
      <c r="H80" s="11">
        <v>0.3088</v>
      </c>
      <c r="I80" s="11">
        <v>0.1304</v>
      </c>
      <c r="J80" s="11">
        <v>0.2301</v>
      </c>
    </row>
    <row r="81" ht="14.25" customHeight="1">
      <c r="A81" s="11" t="s">
        <v>75</v>
      </c>
      <c r="B81" s="11" t="str">
        <f t="array" ref="B81">XLOOKUP(A81, Lookup!B:B, Lookup!D:D)</f>
        <v>#N/A</v>
      </c>
      <c r="C81" s="11" t="s">
        <v>10</v>
      </c>
      <c r="D81" s="11">
        <v>0.0</v>
      </c>
      <c r="E81" s="11">
        <v>0.0</v>
      </c>
      <c r="F81" s="11">
        <v>0.0</v>
      </c>
      <c r="G81" s="11">
        <v>4.0E-4</v>
      </c>
      <c r="H81" s="11">
        <v>0.0011</v>
      </c>
      <c r="I81" s="11">
        <v>0.1766</v>
      </c>
      <c r="J81" s="11">
        <v>0.0166</v>
      </c>
    </row>
    <row r="82" ht="14.25" customHeight="1">
      <c r="A82" s="11" t="s">
        <v>75</v>
      </c>
      <c r="B82" s="11" t="str">
        <f t="array" ref="B82">XLOOKUP(A82, Lookup!B:B, Lookup!D:D)</f>
        <v>#N/A</v>
      </c>
      <c r="C82" s="11" t="s">
        <v>11</v>
      </c>
      <c r="D82" s="11">
        <v>111.0</v>
      </c>
      <c r="E82" s="11">
        <v>102.0</v>
      </c>
      <c r="F82" s="11">
        <v>90.0</v>
      </c>
      <c r="G82" s="11">
        <v>110.0</v>
      </c>
      <c r="H82" s="11">
        <v>109.0</v>
      </c>
      <c r="I82" s="11">
        <v>109.0</v>
      </c>
      <c r="J82" s="11">
        <v>108.0</v>
      </c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4.14"/>
    <col customWidth="1" min="3" max="26" width="11.43"/>
  </cols>
  <sheetData>
    <row r="1" ht="14.25" customHeight="1">
      <c r="A1" s="10" t="s">
        <v>85</v>
      </c>
      <c r="B1" s="10" t="s">
        <v>3</v>
      </c>
      <c r="C1" s="10" t="s">
        <v>4</v>
      </c>
      <c r="D1" s="10" t="s">
        <v>86</v>
      </c>
      <c r="E1" s="10" t="s">
        <v>96</v>
      </c>
      <c r="F1" s="10" t="s">
        <v>97</v>
      </c>
      <c r="G1" s="10" t="s">
        <v>90</v>
      </c>
      <c r="H1" s="10" t="s">
        <v>91</v>
      </c>
      <c r="I1" s="10" t="s">
        <v>92</v>
      </c>
    </row>
    <row r="2" ht="14.25" customHeight="1">
      <c r="A2" s="11" t="s">
        <v>7</v>
      </c>
      <c r="B2" s="11" t="str">
        <f t="array" ref="B2">XLOOKUP(A2, Lookup!B:B, Lookup!D:D)</f>
        <v>#N/A</v>
      </c>
      <c r="C2" s="11" t="s">
        <v>9</v>
      </c>
      <c r="D2" s="11">
        <v>0.2287</v>
      </c>
      <c r="E2" s="11">
        <v>0.4051</v>
      </c>
      <c r="F2" s="11">
        <v>0.3598</v>
      </c>
      <c r="G2" s="11">
        <v>0.5329</v>
      </c>
      <c r="H2" s="11">
        <v>0.4539</v>
      </c>
      <c r="I2" s="11">
        <v>0.4689</v>
      </c>
    </row>
    <row r="3" ht="14.25" customHeight="1">
      <c r="A3" s="11" t="s">
        <v>7</v>
      </c>
      <c r="B3" s="11" t="str">
        <f t="array" ref="B3">XLOOKUP(A3, Lookup!B:B, Lookup!D:D)</f>
        <v>#N/A</v>
      </c>
      <c r="C3" s="11" t="s">
        <v>10</v>
      </c>
      <c r="D3" s="11">
        <v>0.2005</v>
      </c>
      <c r="E3" s="11">
        <v>0.0193</v>
      </c>
      <c r="F3" s="11">
        <v>0.0468</v>
      </c>
      <c r="G3" s="11">
        <v>0.0014</v>
      </c>
      <c r="H3" s="11">
        <v>0.0091</v>
      </c>
      <c r="I3" s="11">
        <v>0.0068</v>
      </c>
    </row>
    <row r="4" ht="14.25" customHeight="1">
      <c r="A4" s="11" t="s">
        <v>7</v>
      </c>
      <c r="B4" s="11" t="str">
        <f t="array" ref="B4">XLOOKUP(A4, Lookup!B:B, Lookup!D:D)</f>
        <v>#N/A</v>
      </c>
      <c r="C4" s="11" t="s">
        <v>11</v>
      </c>
      <c r="D4" s="11">
        <v>33.0</v>
      </c>
      <c r="E4" s="11">
        <v>33.0</v>
      </c>
      <c r="F4" s="11">
        <v>31.0</v>
      </c>
      <c r="G4" s="11">
        <v>33.0</v>
      </c>
      <c r="H4" s="11">
        <v>32.0</v>
      </c>
      <c r="I4" s="11">
        <v>32.0</v>
      </c>
    </row>
    <row r="5" ht="14.25" customHeight="1">
      <c r="A5" s="11" t="s">
        <v>12</v>
      </c>
      <c r="B5" s="11" t="str">
        <f t="array" ref="B5">XLOOKUP(A5, Lookup!B:B, Lookup!D:D)</f>
        <v>#N/A</v>
      </c>
      <c r="C5" s="11" t="s">
        <v>9</v>
      </c>
      <c r="D5" s="11">
        <v>0.1587</v>
      </c>
      <c r="E5" s="11">
        <v>0.3969</v>
      </c>
      <c r="F5" s="11">
        <v>0.3867</v>
      </c>
      <c r="G5" s="11">
        <v>0.32</v>
      </c>
      <c r="H5" s="11">
        <v>0.152</v>
      </c>
      <c r="I5" s="11">
        <v>0.2364</v>
      </c>
    </row>
    <row r="6" ht="14.25" customHeight="1">
      <c r="A6" s="11" t="s">
        <v>12</v>
      </c>
      <c r="B6" s="11" t="str">
        <f t="array" ref="B6">XLOOKUP(A6, Lookup!B:B, Lookup!D:D)</f>
        <v>#N/A</v>
      </c>
      <c r="C6" s="11" t="s">
        <v>10</v>
      </c>
      <c r="D6" s="11">
        <v>0.4487</v>
      </c>
      <c r="E6" s="11">
        <v>0.0608</v>
      </c>
      <c r="F6" s="11">
        <v>0.0754</v>
      </c>
      <c r="G6" s="11">
        <v>0.1189</v>
      </c>
      <c r="H6" s="11">
        <v>0.4783</v>
      </c>
      <c r="I6" s="11">
        <v>0.2662</v>
      </c>
    </row>
    <row r="7" ht="14.25" customHeight="1">
      <c r="A7" s="11" t="s">
        <v>12</v>
      </c>
      <c r="B7" s="11" t="str">
        <f t="array" ref="B7">XLOOKUP(A7, Lookup!B:B, Lookup!D:D)</f>
        <v>#N/A</v>
      </c>
      <c r="C7" s="11" t="s">
        <v>11</v>
      </c>
      <c r="D7" s="11">
        <v>25.0</v>
      </c>
      <c r="E7" s="11">
        <v>23.0</v>
      </c>
      <c r="F7" s="11">
        <v>22.0</v>
      </c>
      <c r="G7" s="11">
        <v>25.0</v>
      </c>
      <c r="H7" s="11">
        <v>24.0</v>
      </c>
      <c r="I7" s="11">
        <v>24.0</v>
      </c>
    </row>
    <row r="8" ht="14.25" customHeight="1">
      <c r="A8" s="11" t="s">
        <v>14</v>
      </c>
      <c r="B8" s="11" t="str">
        <f t="array" ref="B8">XLOOKUP(A8, Lookup!B:B, Lookup!D:D)</f>
        <v>#N/A</v>
      </c>
      <c r="C8" s="11" t="s">
        <v>9</v>
      </c>
      <c r="D8" s="11">
        <v>0.2025</v>
      </c>
      <c r="E8" s="11">
        <v>-0.0273</v>
      </c>
      <c r="F8" s="11">
        <v>0.219</v>
      </c>
      <c r="G8" s="11">
        <v>0.3797</v>
      </c>
      <c r="H8" s="11">
        <v>0.2442</v>
      </c>
      <c r="I8" s="11">
        <v>0.3563</v>
      </c>
    </row>
    <row r="9" ht="14.25" customHeight="1">
      <c r="A9" s="11" t="s">
        <v>14</v>
      </c>
      <c r="B9" s="11" t="str">
        <f t="array" ref="B9">XLOOKUP(A9, Lookup!B:B, Lookup!D:D)</f>
        <v>#N/A</v>
      </c>
      <c r="C9" s="11" t="s">
        <v>10</v>
      </c>
      <c r="D9" s="11">
        <v>0.4058</v>
      </c>
      <c r="E9" s="11">
        <v>0.9118</v>
      </c>
      <c r="F9" s="11">
        <v>0.3983</v>
      </c>
      <c r="G9" s="11">
        <v>0.1089</v>
      </c>
      <c r="H9" s="11">
        <v>0.3288</v>
      </c>
      <c r="I9" s="11">
        <v>0.1467</v>
      </c>
    </row>
    <row r="10" ht="14.25" customHeight="1">
      <c r="A10" s="11" t="s">
        <v>14</v>
      </c>
      <c r="B10" s="11" t="str">
        <f t="array" ref="B10">XLOOKUP(A10, Lookup!B:B, Lookup!D:D)</f>
        <v>#N/A</v>
      </c>
      <c r="C10" s="11" t="s">
        <v>11</v>
      </c>
      <c r="D10" s="11">
        <v>19.0</v>
      </c>
      <c r="E10" s="11">
        <v>19.0</v>
      </c>
      <c r="F10" s="11">
        <v>17.0</v>
      </c>
      <c r="G10" s="11">
        <v>19.0</v>
      </c>
      <c r="H10" s="11">
        <v>18.0</v>
      </c>
      <c r="I10" s="11">
        <v>18.0</v>
      </c>
    </row>
    <row r="11" ht="14.25" customHeight="1">
      <c r="A11" s="11" t="s">
        <v>28</v>
      </c>
      <c r="B11" s="11" t="str">
        <f t="array" ref="B11">XLOOKUP(A11, Lookup!B:B, Lookup!D:D)</f>
        <v>#N/A</v>
      </c>
      <c r="C11" s="11" t="s">
        <v>9</v>
      </c>
      <c r="D11" s="11">
        <v>0.3365</v>
      </c>
      <c r="E11" s="11">
        <v>-0.0631</v>
      </c>
      <c r="F11" s="11">
        <v>0.3415</v>
      </c>
      <c r="G11" s="11">
        <v>0.7324</v>
      </c>
      <c r="H11" s="11">
        <v>0.4766</v>
      </c>
      <c r="I11" s="11">
        <v>0.5751</v>
      </c>
    </row>
    <row r="12" ht="14.25" customHeight="1">
      <c r="A12" s="11" t="s">
        <v>28</v>
      </c>
      <c r="B12" s="11" t="str">
        <f t="array" ref="B12">XLOOKUP(A12, Lookup!B:B, Lookup!D:D)</f>
        <v>#N/A</v>
      </c>
      <c r="C12" s="11" t="s">
        <v>10</v>
      </c>
      <c r="D12" s="11">
        <v>0.1258</v>
      </c>
      <c r="E12" s="11">
        <v>0.7857</v>
      </c>
      <c r="F12" s="11">
        <v>0.1524</v>
      </c>
      <c r="G12" s="11">
        <v>1.0E-4</v>
      </c>
      <c r="H12" s="11">
        <v>0.0289</v>
      </c>
      <c r="I12" s="11">
        <v>0.0064</v>
      </c>
    </row>
    <row r="13" ht="14.25" customHeight="1">
      <c r="A13" s="11" t="s">
        <v>28</v>
      </c>
      <c r="B13" s="11" t="str">
        <f t="array" ref="B13">XLOOKUP(A13, Lookup!B:B, Lookup!D:D)</f>
        <v>#N/A</v>
      </c>
      <c r="C13" s="11" t="s">
        <v>11</v>
      </c>
      <c r="D13" s="11">
        <v>22.0</v>
      </c>
      <c r="E13" s="11">
        <v>21.0</v>
      </c>
      <c r="F13" s="11">
        <v>19.0</v>
      </c>
      <c r="G13" s="11">
        <v>22.0</v>
      </c>
      <c r="H13" s="11">
        <v>21.0</v>
      </c>
      <c r="I13" s="11">
        <v>21.0</v>
      </c>
    </row>
    <row r="14" ht="14.25" customHeight="1">
      <c r="A14" s="11" t="s">
        <v>30</v>
      </c>
      <c r="B14" s="11" t="str">
        <f t="array" ref="B14">XLOOKUP(A14, Lookup!B:B, Lookup!D:D)</f>
        <v>#N/A</v>
      </c>
      <c r="C14" s="11" t="s">
        <v>9</v>
      </c>
      <c r="D14" s="11">
        <v>0.1733</v>
      </c>
      <c r="E14" s="11">
        <v>0.3551</v>
      </c>
      <c r="F14" s="11">
        <v>0.286</v>
      </c>
      <c r="G14" s="11">
        <v>0.4883</v>
      </c>
      <c r="H14" s="11">
        <v>0.4259</v>
      </c>
      <c r="I14" s="11">
        <v>0.492</v>
      </c>
    </row>
    <row r="15" ht="14.25" customHeight="1">
      <c r="A15" s="11" t="s">
        <v>30</v>
      </c>
      <c r="B15" s="11" t="str">
        <f t="array" ref="B15">XLOOKUP(A15, Lookup!B:B, Lookup!D:D)</f>
        <v>#N/A</v>
      </c>
      <c r="C15" s="11" t="s">
        <v>10</v>
      </c>
      <c r="D15" s="11">
        <v>0.3349</v>
      </c>
      <c r="E15" s="11">
        <v>0.0426</v>
      </c>
      <c r="F15" s="11">
        <v>0.1188</v>
      </c>
      <c r="G15" s="11">
        <v>0.0039</v>
      </c>
      <c r="H15" s="11">
        <v>0.0151</v>
      </c>
      <c r="I15" s="11">
        <v>0.0042</v>
      </c>
    </row>
    <row r="16" ht="14.25" customHeight="1">
      <c r="A16" s="11" t="s">
        <v>30</v>
      </c>
      <c r="B16" s="11" t="str">
        <f t="array" ref="B16">XLOOKUP(A16, Lookup!B:B, Lookup!D:D)</f>
        <v>#N/A</v>
      </c>
      <c r="C16" s="11" t="s">
        <v>11</v>
      </c>
      <c r="D16" s="11">
        <v>33.0</v>
      </c>
      <c r="E16" s="11">
        <v>33.0</v>
      </c>
      <c r="F16" s="11">
        <v>31.0</v>
      </c>
      <c r="G16" s="11">
        <v>33.0</v>
      </c>
      <c r="H16" s="11">
        <v>32.0</v>
      </c>
      <c r="I16" s="11">
        <v>32.0</v>
      </c>
    </row>
    <row r="17" ht="14.25" customHeight="1">
      <c r="A17" s="11" t="s">
        <v>37</v>
      </c>
      <c r="B17" s="11" t="str">
        <f t="array" ref="B17">XLOOKUP(A17, Lookup!B:B, Lookup!D:D)</f>
        <v>#N/A</v>
      </c>
      <c r="C17" s="11" t="s">
        <v>9</v>
      </c>
      <c r="D17" s="11">
        <v>-0.0433</v>
      </c>
      <c r="E17" s="11">
        <v>0.1855</v>
      </c>
      <c r="F17" s="11">
        <v>0.1299</v>
      </c>
      <c r="G17" s="11">
        <v>0.2966</v>
      </c>
      <c r="H17" s="11">
        <v>0.3435</v>
      </c>
      <c r="I17" s="11">
        <v>0.2606</v>
      </c>
    </row>
    <row r="18" ht="14.25" customHeight="1">
      <c r="A18" s="11" t="s">
        <v>37</v>
      </c>
      <c r="B18" s="11" t="str">
        <f t="array" ref="B18">XLOOKUP(A18, Lookup!B:B, Lookup!D:D)</f>
        <v>#N/A</v>
      </c>
      <c r="C18" s="11" t="s">
        <v>10</v>
      </c>
      <c r="D18" s="11">
        <v>0.8022</v>
      </c>
      <c r="E18" s="11">
        <v>0.2861</v>
      </c>
      <c r="F18" s="11">
        <v>0.4711</v>
      </c>
      <c r="G18" s="11">
        <v>0.079</v>
      </c>
      <c r="H18" s="11">
        <v>0.0433</v>
      </c>
      <c r="I18" s="11">
        <v>0.1305</v>
      </c>
    </row>
    <row r="19" ht="14.25" customHeight="1">
      <c r="A19" s="11" t="s">
        <v>37</v>
      </c>
      <c r="B19" s="11" t="str">
        <f t="array" ref="B19">XLOOKUP(A19, Lookup!B:B, Lookup!D:D)</f>
        <v>#N/A</v>
      </c>
      <c r="C19" s="11" t="s">
        <v>11</v>
      </c>
      <c r="D19" s="11">
        <v>36.0</v>
      </c>
      <c r="E19" s="11">
        <v>35.0</v>
      </c>
      <c r="F19" s="11">
        <v>33.0</v>
      </c>
      <c r="G19" s="11">
        <v>36.0</v>
      </c>
      <c r="H19" s="11">
        <v>35.0</v>
      </c>
      <c r="I19" s="11">
        <v>35.0</v>
      </c>
    </row>
    <row r="20" ht="14.25" customHeight="1">
      <c r="A20" s="11" t="s">
        <v>39</v>
      </c>
      <c r="B20" s="11" t="str">
        <f t="array" ref="B20">XLOOKUP(A20, Lookup!B:B, Lookup!D:D)</f>
        <v>#N/A</v>
      </c>
      <c r="C20" s="11" t="s">
        <v>9</v>
      </c>
      <c r="D20" s="11">
        <v>0.2747</v>
      </c>
      <c r="E20" s="11">
        <v>0.0087</v>
      </c>
      <c r="F20" s="11">
        <v>0.3645</v>
      </c>
      <c r="G20" s="11">
        <v>0.3019</v>
      </c>
      <c r="H20" s="11">
        <v>0.2368</v>
      </c>
      <c r="I20" s="11">
        <v>0.3255</v>
      </c>
    </row>
    <row r="21" ht="14.25" customHeight="1">
      <c r="A21" s="11" t="s">
        <v>39</v>
      </c>
      <c r="B21" s="11" t="str">
        <f t="array" ref="B21">XLOOKUP(A21, Lookup!B:B, Lookup!D:D)</f>
        <v>#N/A</v>
      </c>
      <c r="C21" s="11" t="s">
        <v>10</v>
      </c>
      <c r="D21" s="11">
        <v>0.1102</v>
      </c>
      <c r="E21" s="11">
        <v>0.9599</v>
      </c>
      <c r="F21" s="11">
        <v>0.0341</v>
      </c>
      <c r="G21" s="11">
        <v>0.078</v>
      </c>
      <c r="H21" s="11">
        <v>0.1776</v>
      </c>
      <c r="I21" s="11">
        <v>0.0603</v>
      </c>
    </row>
    <row r="22" ht="14.25" customHeight="1">
      <c r="A22" s="11" t="s">
        <v>39</v>
      </c>
      <c r="B22" s="11" t="str">
        <f t="array" ref="B22">XLOOKUP(A22, Lookup!B:B, Lookup!D:D)</f>
        <v>#N/A</v>
      </c>
      <c r="C22" s="11" t="s">
        <v>11</v>
      </c>
      <c r="D22" s="11">
        <v>35.0</v>
      </c>
      <c r="E22" s="11">
        <v>36.0</v>
      </c>
      <c r="F22" s="11">
        <v>34.0</v>
      </c>
      <c r="G22" s="11">
        <v>35.0</v>
      </c>
      <c r="H22" s="11">
        <v>34.0</v>
      </c>
      <c r="I22" s="11">
        <v>34.0</v>
      </c>
    </row>
    <row r="23" ht="14.25" customHeight="1">
      <c r="A23" s="11" t="s">
        <v>41</v>
      </c>
      <c r="B23" s="11" t="str">
        <f t="array" ref="B23">XLOOKUP(A23, Lookup!B:B, Lookup!D:D)</f>
        <v>#N/A</v>
      </c>
      <c r="C23" s="11" t="s">
        <v>9</v>
      </c>
      <c r="D23" s="11">
        <v>0.0491</v>
      </c>
      <c r="E23" s="11">
        <v>0.0664</v>
      </c>
      <c r="F23" s="11">
        <v>-0.0329</v>
      </c>
      <c r="G23" s="11">
        <v>0.1572</v>
      </c>
      <c r="H23" s="11">
        <v>0.1279</v>
      </c>
      <c r="I23" s="11">
        <v>0.1208</v>
      </c>
    </row>
    <row r="24" ht="14.25" customHeight="1">
      <c r="A24" s="11" t="s">
        <v>41</v>
      </c>
      <c r="B24" s="11" t="str">
        <f t="array" ref="B24">XLOOKUP(A24, Lookup!B:B, Lookup!D:D)</f>
        <v>#N/A</v>
      </c>
      <c r="C24" s="11" t="s">
        <v>10</v>
      </c>
      <c r="D24" s="11">
        <v>0.7826</v>
      </c>
      <c r="E24" s="11">
        <v>0.7049</v>
      </c>
      <c r="F24" s="11">
        <v>0.8534</v>
      </c>
      <c r="G24" s="11">
        <v>0.3747</v>
      </c>
      <c r="H24" s="11">
        <v>0.4781</v>
      </c>
      <c r="I24" s="11">
        <v>0.5031</v>
      </c>
    </row>
    <row r="25" ht="14.25" customHeight="1">
      <c r="A25" s="11" t="s">
        <v>41</v>
      </c>
      <c r="B25" s="11" t="str">
        <f t="array" ref="B25">XLOOKUP(A25, Lookup!B:B, Lookup!D:D)</f>
        <v>#N/A</v>
      </c>
      <c r="C25" s="11" t="s">
        <v>11</v>
      </c>
      <c r="D25" s="11">
        <v>34.0</v>
      </c>
      <c r="E25" s="11">
        <v>35.0</v>
      </c>
      <c r="F25" s="11">
        <v>34.0</v>
      </c>
      <c r="G25" s="11">
        <v>34.0</v>
      </c>
      <c r="H25" s="11">
        <v>33.0</v>
      </c>
      <c r="I25" s="11">
        <v>33.0</v>
      </c>
    </row>
    <row r="26" ht="14.25" customHeight="1">
      <c r="A26" s="11" t="s">
        <v>43</v>
      </c>
      <c r="B26" s="11" t="str">
        <f t="array" ref="B26">XLOOKUP(A26, Lookup!B:B, Lookup!D:D)</f>
        <v>#N/A</v>
      </c>
      <c r="C26" s="11" t="s">
        <v>9</v>
      </c>
      <c r="D26" s="11">
        <v>0.1407</v>
      </c>
      <c r="E26" s="11">
        <v>-0.1231</v>
      </c>
      <c r="F26" s="11">
        <v>0.3924</v>
      </c>
      <c r="G26" s="11">
        <v>0.294</v>
      </c>
      <c r="H26" s="11">
        <v>0.2036</v>
      </c>
      <c r="I26" s="11">
        <v>0.2449</v>
      </c>
    </row>
    <row r="27" ht="14.25" customHeight="1">
      <c r="A27" s="11" t="s">
        <v>43</v>
      </c>
      <c r="B27" s="11" t="str">
        <f t="array" ref="B27">XLOOKUP(A27, Lookup!B:B, Lookup!D:D)</f>
        <v>#N/A</v>
      </c>
      <c r="C27" s="11" t="s">
        <v>10</v>
      </c>
      <c r="D27" s="11">
        <v>0.5656</v>
      </c>
      <c r="E27" s="11">
        <v>0.6266</v>
      </c>
      <c r="F27" s="11">
        <v>0.1327</v>
      </c>
      <c r="G27" s="11">
        <v>0.2218</v>
      </c>
      <c r="H27" s="11">
        <v>0.4177</v>
      </c>
      <c r="I27" s="11">
        <v>0.3274</v>
      </c>
    </row>
    <row r="28" ht="14.25" customHeight="1">
      <c r="A28" s="11" t="s">
        <v>43</v>
      </c>
      <c r="B28" s="11" t="str">
        <f t="array" ref="B28">XLOOKUP(A28, Lookup!B:B, Lookup!D:D)</f>
        <v>#N/A</v>
      </c>
      <c r="C28" s="11" t="s">
        <v>11</v>
      </c>
      <c r="D28" s="11">
        <v>19.0</v>
      </c>
      <c r="E28" s="11">
        <v>18.0</v>
      </c>
      <c r="F28" s="11">
        <v>16.0</v>
      </c>
      <c r="G28" s="11">
        <v>19.0</v>
      </c>
      <c r="H28" s="11">
        <v>18.0</v>
      </c>
      <c r="I28" s="11">
        <v>18.0</v>
      </c>
    </row>
    <row r="29" ht="14.25" customHeight="1">
      <c r="A29" s="11" t="s">
        <v>45</v>
      </c>
      <c r="B29" s="11" t="str">
        <f t="array" ref="B29">XLOOKUP(A29, Lookup!B:B, Lookup!D:D)</f>
        <v>#N/A</v>
      </c>
      <c r="C29" s="11" t="s">
        <v>9</v>
      </c>
      <c r="D29" s="11">
        <v>0.4436</v>
      </c>
      <c r="E29" s="11">
        <v>0.3548</v>
      </c>
      <c r="F29" s="11">
        <v>0.3434</v>
      </c>
      <c r="G29" s="11">
        <v>0.7694</v>
      </c>
      <c r="H29" s="11">
        <v>0.5617</v>
      </c>
      <c r="I29" s="11">
        <v>0.6883</v>
      </c>
    </row>
    <row r="30" ht="14.25" customHeight="1">
      <c r="A30" s="11" t="s">
        <v>45</v>
      </c>
      <c r="B30" s="11" t="str">
        <f t="array" ref="B30">XLOOKUP(A30, Lookup!B:B, Lookup!D:D)</f>
        <v>#N/A</v>
      </c>
      <c r="C30" s="11" t="s">
        <v>10</v>
      </c>
      <c r="D30" s="11">
        <v>0.0386</v>
      </c>
      <c r="E30" s="11">
        <v>0.1145</v>
      </c>
      <c r="F30" s="11">
        <v>0.1383</v>
      </c>
      <c r="G30" s="11">
        <v>0.0</v>
      </c>
      <c r="H30" s="11">
        <v>0.0081</v>
      </c>
      <c r="I30" s="11">
        <v>6.0E-4</v>
      </c>
    </row>
    <row r="31" ht="14.25" customHeight="1">
      <c r="A31" s="11" t="s">
        <v>45</v>
      </c>
      <c r="B31" s="11" t="str">
        <f t="array" ref="B31">XLOOKUP(A31, Lookup!B:B, Lookup!D:D)</f>
        <v>#N/A</v>
      </c>
      <c r="C31" s="11" t="s">
        <v>11</v>
      </c>
      <c r="D31" s="11">
        <v>22.0</v>
      </c>
      <c r="E31" s="11">
        <v>21.0</v>
      </c>
      <c r="F31" s="11">
        <v>20.0</v>
      </c>
      <c r="G31" s="11">
        <v>22.0</v>
      </c>
      <c r="H31" s="11">
        <v>21.0</v>
      </c>
      <c r="I31" s="11">
        <v>21.0</v>
      </c>
    </row>
    <row r="32" ht="14.25" customHeight="1">
      <c r="A32" s="11" t="s">
        <v>47</v>
      </c>
      <c r="B32" s="11" t="str">
        <f t="array" ref="B32">XLOOKUP(A32, Lookup!B:B, Lookup!D:D)</f>
        <v>#N/A</v>
      </c>
      <c r="C32" s="11" t="s">
        <v>9</v>
      </c>
      <c r="D32" s="11">
        <v>0.3528</v>
      </c>
      <c r="E32" s="11">
        <v>0.3311</v>
      </c>
      <c r="F32" s="11">
        <v>0.418</v>
      </c>
      <c r="G32" s="11">
        <v>0.725</v>
      </c>
      <c r="H32" s="11">
        <v>0.222</v>
      </c>
      <c r="I32" s="11">
        <v>0.4493</v>
      </c>
    </row>
    <row r="33" ht="14.25" customHeight="1">
      <c r="A33" s="11" t="s">
        <v>47</v>
      </c>
      <c r="B33" s="11" t="str">
        <f t="array" ref="B33">XLOOKUP(A33, Lookup!B:B, Lookup!D:D)</f>
        <v>#N/A</v>
      </c>
      <c r="C33" s="11" t="s">
        <v>10</v>
      </c>
      <c r="D33" s="11">
        <v>0.0987</v>
      </c>
      <c r="E33" s="11">
        <v>0.1323</v>
      </c>
      <c r="F33" s="11">
        <v>0.0593</v>
      </c>
      <c r="G33" s="11">
        <v>1.0E-4</v>
      </c>
      <c r="H33" s="11">
        <v>0.3208</v>
      </c>
      <c r="I33" s="11">
        <v>0.0359</v>
      </c>
    </row>
    <row r="34" ht="14.25" customHeight="1">
      <c r="A34" s="11" t="s">
        <v>47</v>
      </c>
      <c r="B34" s="11" t="str">
        <f t="array" ref="B34">XLOOKUP(A34, Lookup!B:B, Lookup!D:D)</f>
        <v>#N/A</v>
      </c>
      <c r="C34" s="11" t="s">
        <v>11</v>
      </c>
      <c r="D34" s="11">
        <v>23.0</v>
      </c>
      <c r="E34" s="11">
        <v>22.0</v>
      </c>
      <c r="F34" s="11">
        <v>21.0</v>
      </c>
      <c r="G34" s="11">
        <v>23.0</v>
      </c>
      <c r="H34" s="11">
        <v>22.0</v>
      </c>
      <c r="I34" s="11">
        <v>22.0</v>
      </c>
    </row>
    <row r="35" ht="14.25" customHeight="1">
      <c r="A35" s="11" t="s">
        <v>53</v>
      </c>
      <c r="B35" s="11" t="str">
        <f t="array" ref="B35">XLOOKUP(A35, Lookup!B:B, Lookup!D:D)</f>
        <v>#N/A</v>
      </c>
      <c r="C35" s="11" t="s">
        <v>9</v>
      </c>
      <c r="D35" s="11">
        <v>0.1853</v>
      </c>
      <c r="E35" s="11">
        <v>0.0391</v>
      </c>
      <c r="F35" s="11">
        <v>0.2495</v>
      </c>
      <c r="G35" s="11">
        <v>0.4977</v>
      </c>
      <c r="H35" s="11">
        <v>-0.0389</v>
      </c>
      <c r="I35" s="11">
        <v>0.3207</v>
      </c>
    </row>
    <row r="36" ht="14.25" customHeight="1">
      <c r="A36" s="11" t="s">
        <v>53</v>
      </c>
      <c r="B36" s="11" t="str">
        <f t="array" ref="B36">XLOOKUP(A36, Lookup!B:B, Lookup!D:D)</f>
        <v>#N/A</v>
      </c>
      <c r="C36" s="11" t="s">
        <v>10</v>
      </c>
      <c r="D36" s="11">
        <v>0.4766</v>
      </c>
      <c r="E36" s="11">
        <v>0.8857</v>
      </c>
      <c r="F36" s="11">
        <v>0.3897</v>
      </c>
      <c r="G36" s="11">
        <v>0.0421</v>
      </c>
      <c r="H36" s="11">
        <v>0.8862</v>
      </c>
      <c r="I36" s="11">
        <v>0.2259</v>
      </c>
    </row>
    <row r="37" ht="14.25" customHeight="1">
      <c r="A37" s="11" t="s">
        <v>53</v>
      </c>
      <c r="B37" s="11" t="str">
        <f t="array" ref="B37">XLOOKUP(A37, Lookup!B:B, Lookup!D:D)</f>
        <v>#N/A</v>
      </c>
      <c r="C37" s="11" t="s">
        <v>11</v>
      </c>
      <c r="D37" s="11">
        <v>17.0</v>
      </c>
      <c r="E37" s="11">
        <v>16.0</v>
      </c>
      <c r="F37" s="11">
        <v>14.0</v>
      </c>
      <c r="G37" s="11">
        <v>17.0</v>
      </c>
      <c r="H37" s="11">
        <v>16.0</v>
      </c>
      <c r="I37" s="11">
        <v>16.0</v>
      </c>
    </row>
    <row r="38" ht="14.25" customHeight="1">
      <c r="A38" s="11" t="s">
        <v>55</v>
      </c>
      <c r="B38" s="11" t="str">
        <f t="array" ref="B38">XLOOKUP(A38, Lookup!B:B, Lookup!D:D)</f>
        <v>#N/A</v>
      </c>
      <c r="C38" s="11" t="s">
        <v>9</v>
      </c>
      <c r="D38" s="11">
        <v>0.2729</v>
      </c>
      <c r="E38" s="11">
        <v>0.3392</v>
      </c>
      <c r="F38" s="11">
        <v>0.5512</v>
      </c>
      <c r="G38" s="11">
        <v>0.5854</v>
      </c>
      <c r="H38" s="11">
        <v>0.4254</v>
      </c>
      <c r="I38" s="11">
        <v>0.6365</v>
      </c>
    </row>
    <row r="39" ht="14.25" customHeight="1">
      <c r="A39" s="11" t="s">
        <v>55</v>
      </c>
      <c r="B39" s="11" t="str">
        <f t="array" ref="B39">XLOOKUP(A39, Lookup!B:B, Lookup!D:D)</f>
        <v>#N/A</v>
      </c>
      <c r="C39" s="11" t="s">
        <v>10</v>
      </c>
      <c r="D39" s="11">
        <v>0.197</v>
      </c>
      <c r="E39" s="11">
        <v>0.1134</v>
      </c>
      <c r="F39" s="11">
        <v>0.0078</v>
      </c>
      <c r="G39" s="11">
        <v>0.0027</v>
      </c>
      <c r="H39" s="11">
        <v>0.043</v>
      </c>
      <c r="I39" s="11">
        <v>0.0011</v>
      </c>
    </row>
    <row r="40" ht="14.25" customHeight="1">
      <c r="A40" s="11" t="s">
        <v>55</v>
      </c>
      <c r="B40" s="11" t="str">
        <f t="array" ref="B40">XLOOKUP(A40, Lookup!B:B, Lookup!D:D)</f>
        <v>#N/A</v>
      </c>
      <c r="C40" s="11" t="s">
        <v>11</v>
      </c>
      <c r="D40" s="11">
        <v>24.0</v>
      </c>
      <c r="E40" s="11">
        <v>23.0</v>
      </c>
      <c r="F40" s="11">
        <v>22.0</v>
      </c>
      <c r="G40" s="11">
        <v>24.0</v>
      </c>
      <c r="H40" s="11">
        <v>23.0</v>
      </c>
      <c r="I40" s="11">
        <v>23.0</v>
      </c>
    </row>
    <row r="41" ht="14.25" customHeight="1">
      <c r="A41" s="11" t="s">
        <v>83</v>
      </c>
      <c r="B41" s="11" t="str">
        <f t="array" ref="B41">XLOOKUP(A41, Lookup!B:B, Lookup!D:D)</f>
        <v>#N/A</v>
      </c>
      <c r="C41" s="11" t="s">
        <v>9</v>
      </c>
      <c r="D41" s="11">
        <v>0.4383</v>
      </c>
      <c r="E41" s="11">
        <v>0.3573</v>
      </c>
      <c r="F41" s="11">
        <v>0.5223</v>
      </c>
      <c r="G41" s="11">
        <v>0.5336</v>
      </c>
      <c r="H41" s="11">
        <v>0.35</v>
      </c>
      <c r="I41" s="11">
        <v>0.446</v>
      </c>
    </row>
    <row r="42" ht="14.25" customHeight="1">
      <c r="A42" s="11" t="s">
        <v>83</v>
      </c>
      <c r="B42" s="11" t="str">
        <f t="array" ref="B42">XLOOKUP(A42, Lookup!B:B, Lookup!D:D)</f>
        <v>#N/A</v>
      </c>
      <c r="C42" s="11" t="s">
        <v>10</v>
      </c>
      <c r="D42" s="11">
        <v>0.0084</v>
      </c>
      <c r="E42" s="11">
        <v>0.0412</v>
      </c>
      <c r="F42" s="11">
        <v>0.0026</v>
      </c>
      <c r="G42" s="11">
        <v>0.001</v>
      </c>
      <c r="H42" s="11">
        <v>0.0424</v>
      </c>
      <c r="I42" s="11">
        <v>0.0082</v>
      </c>
    </row>
    <row r="43" ht="14.25" customHeight="1">
      <c r="A43" s="11" t="s">
        <v>83</v>
      </c>
      <c r="B43" s="11" t="str">
        <f t="array" ref="B43">XLOOKUP(A43, Lookup!B:B, Lookup!D:D)</f>
        <v>#N/A</v>
      </c>
      <c r="C43" s="11" t="s">
        <v>11</v>
      </c>
      <c r="D43" s="11">
        <v>35.0</v>
      </c>
      <c r="E43" s="11">
        <v>33.0</v>
      </c>
      <c r="F43" s="11">
        <v>31.0</v>
      </c>
      <c r="G43" s="11">
        <v>35.0</v>
      </c>
      <c r="H43" s="11">
        <v>34.0</v>
      </c>
      <c r="I43" s="11">
        <v>34.0</v>
      </c>
    </row>
    <row r="44" ht="14.25" customHeight="1">
      <c r="A44" s="11" t="s">
        <v>65</v>
      </c>
      <c r="B44" s="11" t="str">
        <f t="array" ref="B44">XLOOKUP(A44, Lookup!B:B, Lookup!D:D)</f>
        <v>#N/A</v>
      </c>
      <c r="C44" s="11" t="s">
        <v>9</v>
      </c>
      <c r="D44" s="11">
        <v>0.3805</v>
      </c>
      <c r="E44" s="11">
        <v>0.3571</v>
      </c>
      <c r="F44" s="11">
        <v>0.35</v>
      </c>
      <c r="G44" s="11">
        <v>0.6061</v>
      </c>
      <c r="H44" s="11">
        <v>0.6537</v>
      </c>
      <c r="I44" s="11">
        <v>0.655</v>
      </c>
    </row>
    <row r="45" ht="14.25" customHeight="1">
      <c r="A45" s="11" t="s">
        <v>65</v>
      </c>
      <c r="B45" s="11" t="str">
        <f t="array" ref="B45">XLOOKUP(A45, Lookup!B:B, Lookup!D:D)</f>
        <v>#N/A</v>
      </c>
      <c r="C45" s="11" t="s">
        <v>10</v>
      </c>
      <c r="D45" s="11">
        <v>0.038</v>
      </c>
      <c r="E45" s="11">
        <v>0.0572</v>
      </c>
      <c r="F45" s="11">
        <v>0.0796</v>
      </c>
      <c r="G45" s="11">
        <v>4.0E-4</v>
      </c>
      <c r="H45" s="11">
        <v>1.0E-4</v>
      </c>
      <c r="I45" s="11">
        <v>1.0E-4</v>
      </c>
    </row>
    <row r="46" ht="14.25" customHeight="1">
      <c r="A46" s="11" t="s">
        <v>65</v>
      </c>
      <c r="B46" s="11" t="str">
        <f t="array" ref="B46">XLOOKUP(A46, Lookup!B:B, Lookup!D:D)</f>
        <v>#N/A</v>
      </c>
      <c r="C46" s="11" t="s">
        <v>11</v>
      </c>
      <c r="D46" s="11">
        <v>30.0</v>
      </c>
      <c r="E46" s="11">
        <v>29.0</v>
      </c>
      <c r="F46" s="11">
        <v>26.0</v>
      </c>
      <c r="G46" s="11">
        <v>30.0</v>
      </c>
      <c r="H46" s="11">
        <v>29.0</v>
      </c>
      <c r="I46" s="11">
        <v>29.0</v>
      </c>
    </row>
    <row r="47" ht="14.25" customHeight="1">
      <c r="A47" s="11" t="s">
        <v>67</v>
      </c>
      <c r="B47" s="11" t="str">
        <f t="array" ref="B47">XLOOKUP(A47, Lookup!B:B, Lookup!D:D)</f>
        <v>#N/A</v>
      </c>
      <c r="C47" s="11" t="s">
        <v>9</v>
      </c>
      <c r="D47" s="11">
        <v>0.2397</v>
      </c>
      <c r="E47" s="11">
        <v>0.4243</v>
      </c>
      <c r="F47" s="11">
        <v>0.3821</v>
      </c>
      <c r="G47" s="11">
        <v>0.6782</v>
      </c>
      <c r="H47" s="11">
        <v>0.483</v>
      </c>
      <c r="I47" s="11">
        <v>0.5367</v>
      </c>
    </row>
    <row r="48" ht="14.25" customHeight="1">
      <c r="A48" s="11" t="s">
        <v>67</v>
      </c>
      <c r="B48" s="11" t="str">
        <f t="array" ref="B48">XLOOKUP(A48, Lookup!B:B, Lookup!D:D)</f>
        <v>#N/A</v>
      </c>
      <c r="C48" s="11" t="s">
        <v>10</v>
      </c>
      <c r="D48" s="11">
        <v>0.2105</v>
      </c>
      <c r="E48" s="11">
        <v>0.0308</v>
      </c>
      <c r="F48" s="11">
        <v>0.0654</v>
      </c>
      <c r="G48" s="11">
        <v>1.0E-4</v>
      </c>
      <c r="H48" s="11">
        <v>0.0092</v>
      </c>
      <c r="I48" s="11">
        <v>0.0032</v>
      </c>
    </row>
    <row r="49" ht="14.25" customHeight="1">
      <c r="A49" s="11" t="s">
        <v>67</v>
      </c>
      <c r="B49" s="11" t="str">
        <f t="array" ref="B49">XLOOKUP(A49, Lookup!B:B, Lookup!D:D)</f>
        <v>#N/A</v>
      </c>
      <c r="C49" s="11" t="s">
        <v>11</v>
      </c>
      <c r="D49" s="11">
        <v>29.0</v>
      </c>
      <c r="E49" s="11">
        <v>26.0</v>
      </c>
      <c r="F49" s="11">
        <v>24.0</v>
      </c>
      <c r="G49" s="11">
        <v>29.0</v>
      </c>
      <c r="H49" s="11">
        <v>28.0</v>
      </c>
      <c r="I49" s="11">
        <v>28.0</v>
      </c>
    </row>
    <row r="50" ht="14.25" customHeight="1">
      <c r="A50" s="11" t="s">
        <v>69</v>
      </c>
      <c r="B50" s="11" t="str">
        <f t="array" ref="B50">XLOOKUP(A50, Lookup!B:B, Lookup!D:D)</f>
        <v>#N/A</v>
      </c>
      <c r="C50" s="11" t="s">
        <v>9</v>
      </c>
      <c r="D50" s="11">
        <v>0.1516</v>
      </c>
      <c r="E50" s="11">
        <v>0.1994</v>
      </c>
      <c r="F50" s="11">
        <v>0.4621</v>
      </c>
      <c r="G50" s="11">
        <v>0.3485</v>
      </c>
      <c r="H50" s="11">
        <v>0.3438</v>
      </c>
      <c r="I50" s="11">
        <v>0.3033</v>
      </c>
    </row>
    <row r="51" ht="14.25" customHeight="1">
      <c r="A51" s="11" t="s">
        <v>69</v>
      </c>
      <c r="B51" s="11" t="str">
        <f t="array" ref="B51">XLOOKUP(A51, Lookup!B:B, Lookup!D:D)</f>
        <v>#N/A</v>
      </c>
      <c r="C51" s="11" t="s">
        <v>10</v>
      </c>
      <c r="D51" s="11">
        <v>0.4325</v>
      </c>
      <c r="E51" s="11">
        <v>0.3287</v>
      </c>
      <c r="F51" s="11">
        <v>0.023</v>
      </c>
      <c r="G51" s="11">
        <v>0.0639</v>
      </c>
      <c r="H51" s="11">
        <v>0.0733</v>
      </c>
      <c r="I51" s="11">
        <v>0.1166</v>
      </c>
    </row>
    <row r="52" ht="14.25" customHeight="1">
      <c r="A52" s="11" t="s">
        <v>69</v>
      </c>
      <c r="B52" s="11" t="str">
        <f t="array" ref="B52">XLOOKUP(A52, Lookup!B:B, Lookup!D:D)</f>
        <v>#N/A</v>
      </c>
      <c r="C52" s="11" t="s">
        <v>11</v>
      </c>
      <c r="D52" s="11">
        <v>29.0</v>
      </c>
      <c r="E52" s="11">
        <v>26.0</v>
      </c>
      <c r="F52" s="11">
        <v>24.0</v>
      </c>
      <c r="G52" s="11">
        <v>29.0</v>
      </c>
      <c r="H52" s="11">
        <v>28.0</v>
      </c>
      <c r="I52" s="11">
        <v>28.0</v>
      </c>
    </row>
    <row r="53" ht="14.25" customHeight="1">
      <c r="A53" s="11" t="s">
        <v>71</v>
      </c>
      <c r="B53" s="11" t="str">
        <f t="array" ref="B53">XLOOKUP(A53, Lookup!B:B, Lookup!D:D)</f>
        <v>#N/A</v>
      </c>
      <c r="C53" s="11" t="s">
        <v>9</v>
      </c>
      <c r="D53" s="11">
        <v>0.2569</v>
      </c>
      <c r="E53" s="11">
        <v>0.3661</v>
      </c>
      <c r="F53" s="11">
        <v>0.402</v>
      </c>
      <c r="G53" s="11">
        <v>0.7246</v>
      </c>
      <c r="H53" s="11">
        <v>0.5016</v>
      </c>
      <c r="I53" s="11">
        <v>0.6123</v>
      </c>
    </row>
    <row r="54" ht="14.25" customHeight="1">
      <c r="A54" s="11" t="s">
        <v>71</v>
      </c>
      <c r="B54" s="11" t="str">
        <f t="array" ref="B54">XLOOKUP(A54, Lookup!B:B, Lookup!D:D)</f>
        <v>#N/A</v>
      </c>
      <c r="C54" s="11" t="s">
        <v>10</v>
      </c>
      <c r="D54" s="11">
        <v>0.1558</v>
      </c>
      <c r="E54" s="11">
        <v>0.0467</v>
      </c>
      <c r="F54" s="11">
        <v>0.0306</v>
      </c>
      <c r="G54" s="11">
        <v>0.0</v>
      </c>
      <c r="H54" s="11">
        <v>0.004</v>
      </c>
      <c r="I54" s="11">
        <v>3.0E-4</v>
      </c>
    </row>
    <row r="55" ht="14.25" customHeight="1">
      <c r="A55" s="11" t="s">
        <v>71</v>
      </c>
      <c r="B55" s="11" t="str">
        <f t="array" ref="B55">XLOOKUP(A55, Lookup!B:B, Lookup!D:D)</f>
        <v>#N/A</v>
      </c>
      <c r="C55" s="11" t="s">
        <v>11</v>
      </c>
      <c r="D55" s="11">
        <v>32.0</v>
      </c>
      <c r="E55" s="11">
        <v>30.0</v>
      </c>
      <c r="F55" s="11">
        <v>29.0</v>
      </c>
      <c r="G55" s="11">
        <v>32.0</v>
      </c>
      <c r="H55" s="11">
        <v>31.0</v>
      </c>
      <c r="I55" s="11">
        <v>31.0</v>
      </c>
    </row>
    <row r="56" ht="14.25" customHeight="1">
      <c r="A56" s="11" t="s">
        <v>73</v>
      </c>
      <c r="B56" s="11" t="str">
        <f t="array" ref="B56">XLOOKUP(A56, Lookup!B:B, Lookup!D:D)</f>
        <v>#N/A</v>
      </c>
      <c r="C56" s="11" t="s">
        <v>9</v>
      </c>
      <c r="D56" s="11">
        <v>0.4688</v>
      </c>
      <c r="E56" s="11">
        <v>0.3081</v>
      </c>
      <c r="F56" s="11">
        <v>0.2617</v>
      </c>
      <c r="G56" s="11">
        <v>0.5573</v>
      </c>
      <c r="H56" s="11">
        <v>0.4235</v>
      </c>
      <c r="I56" s="11">
        <v>0.5084</v>
      </c>
    </row>
    <row r="57" ht="14.25" customHeight="1">
      <c r="A57" s="11" t="s">
        <v>73</v>
      </c>
      <c r="B57" s="11" t="str">
        <f t="array" ref="B57">XLOOKUP(A57, Lookup!B:B, Lookup!D:D)</f>
        <v>#N/A</v>
      </c>
      <c r="C57" s="11" t="s">
        <v>10</v>
      </c>
      <c r="D57" s="11">
        <v>0.0052</v>
      </c>
      <c r="E57" s="11">
        <v>0.0862</v>
      </c>
      <c r="F57" s="11">
        <v>0.1703</v>
      </c>
      <c r="G57" s="11">
        <v>6.0E-4</v>
      </c>
      <c r="H57" s="11">
        <v>0.014</v>
      </c>
      <c r="I57" s="11">
        <v>0.0025</v>
      </c>
    </row>
    <row r="58" ht="14.25" customHeight="1">
      <c r="A58" s="11" t="s">
        <v>73</v>
      </c>
      <c r="B58" s="11" t="str">
        <f t="array" ref="B58">XLOOKUP(A58, Lookup!B:B, Lookup!D:D)</f>
        <v>#N/A</v>
      </c>
      <c r="C58" s="11" t="s">
        <v>11</v>
      </c>
      <c r="D58" s="11">
        <v>34.0</v>
      </c>
      <c r="E58" s="11">
        <v>32.0</v>
      </c>
      <c r="F58" s="11">
        <v>29.0</v>
      </c>
      <c r="G58" s="11">
        <v>34.0</v>
      </c>
      <c r="H58" s="11">
        <v>33.0</v>
      </c>
      <c r="I58" s="11">
        <v>33.0</v>
      </c>
    </row>
    <row r="59" ht="14.25" customHeight="1">
      <c r="A59" s="11" t="s">
        <v>79</v>
      </c>
      <c r="B59" s="11" t="str">
        <f t="array" ref="B59">XLOOKUP(A59, Lookup!B:B, Lookup!D:D)</f>
        <v>#N/A</v>
      </c>
      <c r="C59" s="11" t="s">
        <v>9</v>
      </c>
      <c r="D59" s="11">
        <v>0.3619</v>
      </c>
      <c r="E59" s="11">
        <v>0.2276</v>
      </c>
      <c r="F59" s="11">
        <v>0.2591</v>
      </c>
      <c r="G59" s="11">
        <v>0.6222</v>
      </c>
      <c r="H59" s="11">
        <v>0.3555</v>
      </c>
      <c r="I59" s="11">
        <v>0.4889</v>
      </c>
    </row>
    <row r="60" ht="14.25" customHeight="1">
      <c r="A60" s="11" t="s">
        <v>79</v>
      </c>
      <c r="B60" s="11" t="str">
        <f t="array" ref="B60">XLOOKUP(A60, Lookup!B:B, Lookup!D:D)</f>
        <v>#N/A</v>
      </c>
      <c r="C60" s="11" t="s">
        <v>10</v>
      </c>
      <c r="D60" s="11">
        <v>0.0256</v>
      </c>
      <c r="E60" s="11">
        <v>0.1818</v>
      </c>
      <c r="F60" s="11">
        <v>0.139</v>
      </c>
      <c r="G60" s="11">
        <v>0.0</v>
      </c>
      <c r="H60" s="11">
        <v>0.0308</v>
      </c>
      <c r="I60" s="11">
        <v>0.0021</v>
      </c>
    </row>
    <row r="61" ht="14.25" customHeight="1">
      <c r="A61" s="11" t="s">
        <v>79</v>
      </c>
      <c r="B61" s="11" t="str">
        <f t="array" ref="B61">XLOOKUP(A61, Lookup!B:B, Lookup!D:D)</f>
        <v>#N/A</v>
      </c>
      <c r="C61" s="11" t="s">
        <v>11</v>
      </c>
      <c r="D61" s="11">
        <v>38.0</v>
      </c>
      <c r="E61" s="11">
        <v>36.0</v>
      </c>
      <c r="F61" s="11">
        <v>34.0</v>
      </c>
      <c r="G61" s="11">
        <v>38.0</v>
      </c>
      <c r="H61" s="11">
        <v>37.0</v>
      </c>
      <c r="I61" s="11">
        <v>37.0</v>
      </c>
    </row>
    <row r="62" ht="14.25" customHeight="1">
      <c r="A62" s="11" t="s">
        <v>81</v>
      </c>
      <c r="B62" s="11" t="str">
        <f t="array" ref="B62">XLOOKUP(A62, Lookup!B:B, Lookup!D:D)</f>
        <v>#N/A</v>
      </c>
      <c r="C62" s="11" t="s">
        <v>9</v>
      </c>
      <c r="D62" s="11">
        <v>0.4501</v>
      </c>
      <c r="E62" s="11">
        <v>0.5255</v>
      </c>
      <c r="F62" s="11">
        <v>0.6239</v>
      </c>
      <c r="G62" s="11">
        <v>0.6301</v>
      </c>
      <c r="H62" s="11">
        <v>0.4218</v>
      </c>
      <c r="I62" s="11">
        <v>0.526</v>
      </c>
    </row>
    <row r="63" ht="14.25" customHeight="1">
      <c r="A63" s="11" t="s">
        <v>81</v>
      </c>
      <c r="B63" s="11" t="str">
        <f t="array" ref="B63">XLOOKUP(A63, Lookup!B:B, Lookup!D:D)</f>
        <v>#N/A</v>
      </c>
      <c r="C63" s="11" t="s">
        <v>10</v>
      </c>
      <c r="D63" s="11">
        <v>0.004</v>
      </c>
      <c r="E63" s="11">
        <v>7.0E-4</v>
      </c>
      <c r="F63" s="11">
        <v>1.0E-4</v>
      </c>
      <c r="G63" s="11">
        <v>0.0</v>
      </c>
      <c r="H63" s="11">
        <v>0.0084</v>
      </c>
      <c r="I63" s="11">
        <v>7.0E-4</v>
      </c>
    </row>
    <row r="64" ht="14.25" customHeight="1">
      <c r="A64" s="11" t="s">
        <v>81</v>
      </c>
      <c r="B64" s="11" t="str">
        <f t="array" ref="B64">XLOOKUP(A64, Lookup!B:B, Lookup!D:D)</f>
        <v>#N/A</v>
      </c>
      <c r="C64" s="11" t="s">
        <v>11</v>
      </c>
      <c r="D64" s="11">
        <v>39.0</v>
      </c>
      <c r="E64" s="11">
        <v>38.0</v>
      </c>
      <c r="F64" s="11">
        <v>35.0</v>
      </c>
      <c r="G64" s="11">
        <v>39.0</v>
      </c>
      <c r="H64" s="11">
        <v>38.0</v>
      </c>
      <c r="I64" s="11">
        <v>38.0</v>
      </c>
    </row>
    <row r="65" ht="14.25" customHeight="1">
      <c r="A65" s="11" t="s">
        <v>16</v>
      </c>
      <c r="B65" s="11" t="str">
        <f t="array" ref="B65">XLOOKUP(A65, Lookup!B:B, Lookup!D:D)</f>
        <v>#N/A</v>
      </c>
      <c r="C65" s="11" t="s">
        <v>9</v>
      </c>
      <c r="D65" s="11">
        <v>0.196</v>
      </c>
      <c r="E65" s="11">
        <v>0.2867</v>
      </c>
      <c r="F65" s="11">
        <v>0.317</v>
      </c>
      <c r="G65" s="11">
        <v>0.3345</v>
      </c>
      <c r="H65" s="11">
        <v>0.0877</v>
      </c>
      <c r="I65" s="11">
        <v>0.2173</v>
      </c>
    </row>
    <row r="66" ht="14.25" customHeight="1">
      <c r="A66" s="11" t="s">
        <v>16</v>
      </c>
      <c r="B66" s="11" t="str">
        <f t="array" ref="B66">XLOOKUP(A66, Lookup!B:B, Lookup!D:D)</f>
        <v>#N/A</v>
      </c>
      <c r="C66" s="11" t="s">
        <v>10</v>
      </c>
      <c r="D66" s="11">
        <v>0.2824</v>
      </c>
      <c r="E66" s="11">
        <v>0.1178</v>
      </c>
      <c r="F66" s="11">
        <v>0.0938</v>
      </c>
      <c r="G66" s="11">
        <v>0.0613</v>
      </c>
      <c r="H66" s="11">
        <v>0.6391</v>
      </c>
      <c r="I66" s="11">
        <v>0.2403</v>
      </c>
    </row>
    <row r="67" ht="14.25" customHeight="1">
      <c r="A67" s="11" t="s">
        <v>16</v>
      </c>
      <c r="B67" s="11" t="str">
        <f t="array" ref="B67">XLOOKUP(A67, Lookup!B:B, Lookup!D:D)</f>
        <v>#N/A</v>
      </c>
      <c r="C67" s="11" t="s">
        <v>11</v>
      </c>
      <c r="D67" s="11">
        <v>32.0</v>
      </c>
      <c r="E67" s="11">
        <v>31.0</v>
      </c>
      <c r="F67" s="11">
        <v>29.0</v>
      </c>
      <c r="G67" s="11">
        <v>32.0</v>
      </c>
      <c r="H67" s="11">
        <v>31.0</v>
      </c>
      <c r="I67" s="11">
        <v>31.0</v>
      </c>
    </row>
    <row r="68" ht="14.25" customHeight="1">
      <c r="A68" s="11" t="s">
        <v>32</v>
      </c>
      <c r="B68" s="11" t="str">
        <f t="array" ref="B68">XLOOKUP(A68, Lookup!B:B, Lookup!D:D)</f>
        <v>#N/A</v>
      </c>
      <c r="C68" s="11" t="s">
        <v>9</v>
      </c>
      <c r="D68" s="11">
        <v>0.1607</v>
      </c>
      <c r="E68" s="11">
        <v>0.3792</v>
      </c>
      <c r="F68" s="11">
        <v>0.236</v>
      </c>
      <c r="G68" s="11">
        <v>0.5434</v>
      </c>
      <c r="H68" s="11">
        <v>0.4524</v>
      </c>
      <c r="I68" s="11">
        <v>0.4827</v>
      </c>
    </row>
    <row r="69" ht="14.25" customHeight="1">
      <c r="A69" s="11" t="s">
        <v>32</v>
      </c>
      <c r="B69" s="11" t="str">
        <f t="array" ref="B69">XLOOKUP(A69, Lookup!B:B, Lookup!D:D)</f>
        <v>#N/A</v>
      </c>
      <c r="C69" s="11" t="s">
        <v>10</v>
      </c>
      <c r="D69" s="11">
        <v>0.3877</v>
      </c>
      <c r="E69" s="11">
        <v>0.0354</v>
      </c>
      <c r="F69" s="11">
        <v>0.2178</v>
      </c>
      <c r="G69" s="11">
        <v>0.0016</v>
      </c>
      <c r="H69" s="11">
        <v>0.0121</v>
      </c>
      <c r="I69" s="11">
        <v>0.0069</v>
      </c>
    </row>
    <row r="70" ht="14.25" customHeight="1">
      <c r="A70" s="11" t="s">
        <v>32</v>
      </c>
      <c r="B70" s="11" t="str">
        <f t="array" ref="B70">XLOOKUP(A70, Lookup!B:B, Lookup!D:D)</f>
        <v>#N/A</v>
      </c>
      <c r="C70" s="11" t="s">
        <v>11</v>
      </c>
      <c r="D70" s="11">
        <v>31.0</v>
      </c>
      <c r="E70" s="11">
        <v>31.0</v>
      </c>
      <c r="F70" s="11">
        <v>29.0</v>
      </c>
      <c r="G70" s="11">
        <v>31.0</v>
      </c>
      <c r="H70" s="11">
        <v>30.0</v>
      </c>
      <c r="I70" s="11">
        <v>30.0</v>
      </c>
    </row>
    <row r="71" ht="14.25" customHeight="1">
      <c r="A71" s="11" t="s">
        <v>77</v>
      </c>
      <c r="B71" s="11" t="str">
        <f t="array" ref="B71">XLOOKUP(A71, Lookup!B:B, Lookup!D:D)</f>
        <v>#N/A</v>
      </c>
      <c r="C71" s="11" t="s">
        <v>9</v>
      </c>
      <c r="D71" s="11">
        <v>0.4053</v>
      </c>
      <c r="E71" s="11">
        <v>0.5523</v>
      </c>
      <c r="F71" s="11">
        <v>0.5201</v>
      </c>
      <c r="G71" s="11">
        <v>0.5973</v>
      </c>
      <c r="H71" s="11">
        <v>0.4224</v>
      </c>
      <c r="I71" s="11">
        <v>0.4683</v>
      </c>
    </row>
    <row r="72" ht="14.25" customHeight="1">
      <c r="A72" s="11" t="s">
        <v>77</v>
      </c>
      <c r="B72" s="11" t="str">
        <f t="array" ref="B72">XLOOKUP(A72, Lookup!B:B, Lookup!D:D)</f>
        <v>#N/A</v>
      </c>
      <c r="C72" s="11" t="s">
        <v>10</v>
      </c>
      <c r="D72" s="11">
        <v>0.0174</v>
      </c>
      <c r="E72" s="11">
        <v>0.001</v>
      </c>
      <c r="F72" s="11">
        <v>0.0038</v>
      </c>
      <c r="G72" s="11">
        <v>2.0E-4</v>
      </c>
      <c r="H72" s="11">
        <v>0.0143</v>
      </c>
      <c r="I72" s="11">
        <v>0.006</v>
      </c>
    </row>
    <row r="73" ht="14.25" customHeight="1">
      <c r="A73" s="11" t="s">
        <v>77</v>
      </c>
      <c r="B73" s="11" t="str">
        <f t="array" ref="B73">XLOOKUP(A73, Lookup!B:B, Lookup!D:D)</f>
        <v>#N/A</v>
      </c>
      <c r="C73" s="11" t="s">
        <v>11</v>
      </c>
      <c r="D73" s="11">
        <v>34.0</v>
      </c>
      <c r="E73" s="11">
        <v>32.0</v>
      </c>
      <c r="F73" s="11">
        <v>29.0</v>
      </c>
      <c r="G73" s="11">
        <v>34.0</v>
      </c>
      <c r="H73" s="11">
        <v>33.0</v>
      </c>
      <c r="I73" s="11">
        <v>33.0</v>
      </c>
    </row>
    <row r="74" ht="14.25" customHeight="1">
      <c r="A74" s="11" t="s">
        <v>75</v>
      </c>
      <c r="B74" s="11" t="str">
        <f t="array" ref="B74">XLOOKUP(A74, Lookup!B:B, Lookup!D:D)</f>
        <v>#N/A</v>
      </c>
      <c r="C74" s="11" t="s">
        <v>9</v>
      </c>
      <c r="D74" s="11">
        <v>0.4143</v>
      </c>
      <c r="E74" s="11">
        <v>0.2077</v>
      </c>
      <c r="F74" s="11">
        <v>0.2694</v>
      </c>
      <c r="G74" s="11">
        <v>0.3055</v>
      </c>
      <c r="H74" s="11">
        <v>0.4012</v>
      </c>
      <c r="I74" s="11">
        <v>0.3968</v>
      </c>
    </row>
    <row r="75" ht="14.25" customHeight="1">
      <c r="A75" s="11" t="s">
        <v>75</v>
      </c>
      <c r="B75" s="11" t="str">
        <f t="array" ref="B75">XLOOKUP(A75, Lookup!B:B, Lookup!D:D)</f>
        <v>#N/A</v>
      </c>
      <c r="C75" s="11" t="s">
        <v>10</v>
      </c>
      <c r="D75" s="11">
        <v>0.0149</v>
      </c>
      <c r="E75" s="11">
        <v>0.246</v>
      </c>
      <c r="F75" s="11">
        <v>0.136</v>
      </c>
      <c r="G75" s="11">
        <v>0.0789</v>
      </c>
      <c r="H75" s="11">
        <v>0.0207</v>
      </c>
      <c r="I75" s="11">
        <v>0.0222</v>
      </c>
    </row>
    <row r="76" ht="14.25" customHeight="1">
      <c r="A76" s="11" t="s">
        <v>75</v>
      </c>
      <c r="B76" s="11" t="str">
        <f t="array" ref="B76">XLOOKUP(A76, Lookup!B:B, Lookup!D:D)</f>
        <v>#N/A</v>
      </c>
      <c r="C76" s="11" t="s">
        <v>11</v>
      </c>
      <c r="D76" s="11">
        <v>34.0</v>
      </c>
      <c r="E76" s="11">
        <v>33.0</v>
      </c>
      <c r="F76" s="11">
        <v>32.0</v>
      </c>
      <c r="G76" s="11">
        <v>34.0</v>
      </c>
      <c r="H76" s="11">
        <v>33.0</v>
      </c>
      <c r="I76" s="11">
        <v>33.0</v>
      </c>
    </row>
    <row r="77" ht="14.25" customHeight="1">
      <c r="A77" s="11" t="s">
        <v>99</v>
      </c>
      <c r="B77" s="11" t="s">
        <v>100</v>
      </c>
      <c r="C77" s="11" t="s">
        <v>9</v>
      </c>
      <c r="D77" s="11">
        <v>0.2224</v>
      </c>
      <c r="E77" s="11">
        <v>0.2605</v>
      </c>
      <c r="F77" s="11">
        <v>0.242</v>
      </c>
      <c r="G77" s="11">
        <v>0.5379</v>
      </c>
      <c r="H77" s="11">
        <v>0.2608</v>
      </c>
      <c r="I77" s="11">
        <v>0.376</v>
      </c>
    </row>
    <row r="78" ht="14.25" customHeight="1">
      <c r="A78" s="11" t="s">
        <v>99</v>
      </c>
      <c r="B78" s="11" t="s">
        <v>100</v>
      </c>
      <c r="C78" s="11" t="s">
        <v>10</v>
      </c>
      <c r="D78" s="11">
        <v>0.2062</v>
      </c>
      <c r="E78" s="11">
        <v>0.1431</v>
      </c>
      <c r="F78" s="11">
        <v>0.1977</v>
      </c>
      <c r="G78" s="11">
        <v>0.001</v>
      </c>
      <c r="H78" s="11">
        <v>0.1426</v>
      </c>
      <c r="I78" s="11">
        <v>0.031</v>
      </c>
    </row>
    <row r="79" ht="14.25" customHeight="1">
      <c r="A79" s="11" t="s">
        <v>99</v>
      </c>
      <c r="B79" s="11" t="s">
        <v>100</v>
      </c>
      <c r="C79" s="11" t="s">
        <v>11</v>
      </c>
      <c r="D79" s="11">
        <v>34.0</v>
      </c>
      <c r="E79" s="11">
        <v>33.0</v>
      </c>
      <c r="F79" s="11">
        <v>30.0</v>
      </c>
      <c r="G79" s="11">
        <v>34.0</v>
      </c>
      <c r="H79" s="11">
        <v>33.0</v>
      </c>
      <c r="I79" s="11">
        <v>33.0</v>
      </c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8.71"/>
    <col customWidth="1" min="3" max="3" width="25.0"/>
    <col customWidth="1" min="4" max="4" width="22.43"/>
    <col customWidth="1" min="5" max="26" width="8.71"/>
  </cols>
  <sheetData>
    <row r="1" ht="14.25" customHeight="1">
      <c r="A1" s="24" t="s">
        <v>101</v>
      </c>
      <c r="B1" s="24" t="s">
        <v>102</v>
      </c>
      <c r="C1" s="24" t="s">
        <v>103</v>
      </c>
      <c r="D1" s="24" t="s">
        <v>3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4.25" customHeight="1">
      <c r="A2" s="25" t="s">
        <v>104</v>
      </c>
      <c r="B2" s="25" t="str">
        <f t="array" ref="B2">TEXTSPLIT(A2, ": ")</f>
        <v>#NAME?</v>
      </c>
      <c r="C2" s="25"/>
      <c r="D2" s="25" t="str">
        <f t="shared" ref="D2:D28" si="1">SUBSTITUTE(C2, " EN", "")</f>
        <v/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5" t="s">
        <v>105</v>
      </c>
      <c r="B3" s="25" t="str">
        <f t="array" ref="B3">TEXTSPLIT(A3, ": ")</f>
        <v>#NAME?</v>
      </c>
      <c r="C3" s="25"/>
      <c r="D3" s="25" t="str">
        <f t="shared" si="1"/>
        <v/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25" t="s">
        <v>106</v>
      </c>
      <c r="B4" s="25" t="str">
        <f t="array" ref="B4">TEXTSPLIT(A4, ": ")</f>
        <v>#NAME?</v>
      </c>
      <c r="C4" s="25"/>
      <c r="D4" s="25" t="str">
        <f t="shared" si="1"/>
        <v/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5" t="s">
        <v>107</v>
      </c>
      <c r="B5" s="25" t="str">
        <f t="array" ref="B5">TEXTSPLIT(A5, ": ")</f>
        <v>#NAME?</v>
      </c>
      <c r="C5" s="25"/>
      <c r="D5" s="25" t="str">
        <f t="shared" si="1"/>
        <v/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4.25" customHeight="1">
      <c r="A6" s="25" t="s">
        <v>108</v>
      </c>
      <c r="B6" s="25" t="str">
        <f t="array" ref="B6">TEXTSPLIT(A6, ": ")</f>
        <v>#NAME?</v>
      </c>
      <c r="C6" s="25"/>
      <c r="D6" s="25" t="str">
        <f t="shared" si="1"/>
        <v/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25" t="s">
        <v>109</v>
      </c>
      <c r="B7" s="25" t="str">
        <f t="array" ref="B7">TEXTSPLIT(A7, ": ")</f>
        <v>#NAME?</v>
      </c>
      <c r="C7" s="25"/>
      <c r="D7" s="25" t="str">
        <f t="shared" si="1"/>
        <v/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25" t="s">
        <v>110</v>
      </c>
      <c r="B8" s="25" t="str">
        <f t="array" ref="B8">TEXTSPLIT(A8, ": ")</f>
        <v>#NAME?</v>
      </c>
      <c r="C8" s="25"/>
      <c r="D8" s="25" t="str">
        <f t="shared" si="1"/>
        <v/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5" t="s">
        <v>111</v>
      </c>
      <c r="B9" s="25" t="str">
        <f t="array" ref="B9">TEXTSPLIT(A9, ": ")</f>
        <v>#NAME?</v>
      </c>
      <c r="C9" s="25"/>
      <c r="D9" s="25" t="str">
        <f t="shared" si="1"/>
        <v/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5" t="s">
        <v>112</v>
      </c>
      <c r="B10" s="25" t="str">
        <f t="array" ref="B10">TEXTSPLIT(A10, ": ")</f>
        <v>#NAME?</v>
      </c>
      <c r="C10" s="25"/>
      <c r="D10" s="25" t="str">
        <f t="shared" si="1"/>
        <v/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5" t="s">
        <v>113</v>
      </c>
      <c r="B11" s="25" t="str">
        <f t="array" ref="B11">TEXTSPLIT(A11, ": ")</f>
        <v>#NAME?</v>
      </c>
      <c r="C11" s="25"/>
      <c r="D11" s="25" t="str">
        <f t="shared" si="1"/>
        <v/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5" t="s">
        <v>114</v>
      </c>
      <c r="B12" s="25" t="str">
        <f t="array" ref="B12">TEXTSPLIT(A12, ": ")</f>
        <v>#NAME?</v>
      </c>
      <c r="C12" s="25"/>
      <c r="D12" s="25" t="str">
        <f t="shared" si="1"/>
        <v/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5" t="s">
        <v>115</v>
      </c>
      <c r="B13" s="25" t="str">
        <f t="array" ref="B13">TEXTSPLIT(A13, ": ")</f>
        <v>#NAME?</v>
      </c>
      <c r="C13" s="25"/>
      <c r="D13" s="25" t="str">
        <f t="shared" si="1"/>
        <v/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5" t="s">
        <v>116</v>
      </c>
      <c r="B14" s="25" t="str">
        <f t="array" ref="B14">TEXTSPLIT(A14, ": ")</f>
        <v>#NAME?</v>
      </c>
      <c r="C14" s="25"/>
      <c r="D14" s="25" t="str">
        <f t="shared" si="1"/>
        <v/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5" t="s">
        <v>117</v>
      </c>
      <c r="B15" s="25" t="str">
        <f t="array" ref="B15">TEXTSPLIT(A15, ": ")</f>
        <v>#NAME?</v>
      </c>
      <c r="C15" s="25"/>
      <c r="D15" s="25" t="str">
        <f t="shared" si="1"/>
        <v/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5" t="s">
        <v>118</v>
      </c>
      <c r="B16" s="25" t="str">
        <f t="array" ref="B16">TEXTSPLIT(A16, ": ")</f>
        <v>#NAME?</v>
      </c>
      <c r="C16" s="25"/>
      <c r="D16" s="25" t="str">
        <f t="shared" si="1"/>
        <v/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5" t="s">
        <v>119</v>
      </c>
      <c r="B17" s="25" t="str">
        <f t="array" ref="B17">TEXTSPLIT(A17, ": ")</f>
        <v>#NAME?</v>
      </c>
      <c r="C17" s="25"/>
      <c r="D17" s="25" t="str">
        <f t="shared" si="1"/>
        <v/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5" t="s">
        <v>120</v>
      </c>
      <c r="B18" s="25" t="str">
        <f t="array" ref="B18">TEXTSPLIT(A18, ": ")</f>
        <v>#NAME?</v>
      </c>
      <c r="C18" s="25"/>
      <c r="D18" s="25" t="str">
        <f t="shared" si="1"/>
        <v/>
      </c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25" t="s">
        <v>121</v>
      </c>
      <c r="B19" s="25" t="str">
        <f t="array" ref="B19">TEXTSPLIT(A19, ": ")</f>
        <v>#NAME?</v>
      </c>
      <c r="C19" s="25"/>
      <c r="D19" s="25" t="str">
        <f t="shared" si="1"/>
        <v/>
      </c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5" t="s">
        <v>122</v>
      </c>
      <c r="B20" s="25" t="str">
        <f t="array" ref="B20">TEXTSPLIT(A20, ": ")</f>
        <v>#NAME?</v>
      </c>
      <c r="C20" s="25"/>
      <c r="D20" s="25" t="str">
        <f t="shared" si="1"/>
        <v/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5" t="s">
        <v>123</v>
      </c>
      <c r="B21" s="25" t="str">
        <f t="array" ref="B21">TEXTSPLIT(A21, ": ")</f>
        <v>#NAME?</v>
      </c>
      <c r="C21" s="25"/>
      <c r="D21" s="25" t="str">
        <f t="shared" si="1"/>
        <v/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5" t="s">
        <v>124</v>
      </c>
      <c r="B22" s="25" t="str">
        <f t="array" ref="B22">TEXTSPLIT(A22, ": ")</f>
        <v>#NAME?</v>
      </c>
      <c r="C22" s="25"/>
      <c r="D22" s="25" t="str">
        <f t="shared" si="1"/>
        <v/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5" t="s">
        <v>125</v>
      </c>
      <c r="B23" s="25" t="str">
        <f t="array" ref="B23">TEXTSPLIT(A23, ": ")</f>
        <v>#NAME?</v>
      </c>
      <c r="C23" s="25"/>
      <c r="D23" s="25" t="str">
        <f t="shared" si="1"/>
        <v/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4.25" customHeight="1">
      <c r="A24" s="25" t="s">
        <v>126</v>
      </c>
      <c r="B24" s="25" t="str">
        <f t="array" ref="B24">TEXTSPLIT(A24, ": ")</f>
        <v>#NAME?</v>
      </c>
      <c r="C24" s="25"/>
      <c r="D24" s="25" t="str">
        <f t="shared" si="1"/>
        <v/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A25" s="25" t="s">
        <v>127</v>
      </c>
      <c r="B25" s="25" t="str">
        <f t="array" ref="B25">TEXTSPLIT(A25, ": ")</f>
        <v>#NAME?</v>
      </c>
      <c r="C25" s="25"/>
      <c r="D25" s="25" t="str">
        <f t="shared" si="1"/>
        <v/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4.25" customHeight="1">
      <c r="A26" s="25" t="s">
        <v>128</v>
      </c>
      <c r="B26" s="25" t="str">
        <f t="array" ref="B26">TEXTSPLIT(A26, ": ")</f>
        <v>#NAME?</v>
      </c>
      <c r="C26" s="25"/>
      <c r="D26" s="25" t="str">
        <f t="shared" si="1"/>
        <v/>
      </c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4.25" customHeight="1">
      <c r="A27" s="25" t="s">
        <v>129</v>
      </c>
      <c r="B27" s="25" t="str">
        <f t="array" ref="B27">TEXTSPLIT(A27, ": ")</f>
        <v>#NAME?</v>
      </c>
      <c r="C27" s="25"/>
      <c r="D27" s="25" t="str">
        <f t="shared" si="1"/>
        <v/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4.25" customHeight="1">
      <c r="A28" s="25" t="s">
        <v>130</v>
      </c>
      <c r="B28" s="25" t="str">
        <f t="array" ref="B28">TEXTSPLIT(A28, ": ")</f>
        <v>#NAME?</v>
      </c>
      <c r="C28" s="25"/>
      <c r="D28" s="25" t="str">
        <f t="shared" si="1"/>
        <v/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4.2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4.2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4.2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4.2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4.2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4.2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4.2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4.2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4.2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4.2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4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4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4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4.2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4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4.2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2026-06-10T16:00:59Z</dcterms:created>
  <dc:creator>swinth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0x010100C1C12125F0874B479571AE6ABF9916BF</vt:lpwstr>
  </property>
  <property fmtid="{D5CDD505-2E9C-101B-9397-08002B2CF9AE}" pid="3" name="MediaServiceImageTags">
    <vt:lpwstr/>
  </property>
</Properties>
</file>